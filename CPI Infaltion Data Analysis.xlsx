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892937f43606de44/Desktop/"/>
    </mc:Choice>
  </mc:AlternateContent>
  <xr:revisionPtr revIDLastSave="230" documentId="13_ncr:1_{BC7AD950-1792-4FC5-94F3-D72596654B73}" xr6:coauthVersionLast="47" xr6:coauthVersionMax="47" xr10:uidLastSave="{17EDA88C-5062-4470-B02A-128CC06EECD5}"/>
  <bookViews>
    <workbookView xWindow="-108" yWindow="-108" windowWidth="23256" windowHeight="12456" firstSheet="7" activeTab="11" xr2:uid="{A1792795-8A79-42DC-AFF8-8A4A0D2B8EA8}"/>
  </bookViews>
  <sheets>
    <sheet name="Dashboard" sheetId="27" r:id="rId1"/>
    <sheet name="CPI data" sheetId="32" r:id="rId2"/>
    <sheet name="Missing values" sheetId="2" r:id="rId3"/>
    <sheet name="Basket" sheetId="28" r:id="rId4"/>
    <sheet name="Problem 1" sheetId="25" r:id="rId5"/>
    <sheet name="Problem 2" sheetId="19" r:id="rId6"/>
    <sheet name="Problem 3 data" sheetId="14" r:id="rId7"/>
    <sheet name="Problem 3" sheetId="17" r:id="rId8"/>
    <sheet name="Problem 4" sheetId="20" r:id="rId9"/>
    <sheet name="Crude oil dataset" sheetId="23" r:id="rId10"/>
    <sheet name="Problem 5" sheetId="22" r:id="rId11"/>
    <sheet name="All_India_Index_Upto_April23 (1" sheetId="1" r:id="rId12"/>
  </sheets>
  <definedNames>
    <definedName name="_xlnm._FilterDatabase" localSheetId="11" hidden="1">'All_India_Index_Upto_April23 (1'!$A$1:$AE$373</definedName>
    <definedName name="_xlnm._FilterDatabase" localSheetId="3" hidden="1">Basket!$D$1:$M$373</definedName>
    <definedName name="_xlnm._FilterDatabase" localSheetId="2" hidden="1">'Missing values'!$U$4:$V$376</definedName>
    <definedName name="_xlnm._FilterDatabase" localSheetId="6" hidden="1">'Problem 3 data'!$I$3:$Y$40</definedName>
  </definedNames>
  <calcPr calcId="191029"/>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3" i="32" l="1"/>
  <c r="D372" i="32"/>
  <c r="V371" i="32"/>
  <c r="D371" i="32"/>
  <c r="D370" i="32"/>
  <c r="D369" i="32"/>
  <c r="V368" i="32"/>
  <c r="D368" i="32"/>
  <c r="D367" i="32"/>
  <c r="D366" i="32"/>
  <c r="V365" i="32"/>
  <c r="D365" i="32"/>
  <c r="D364" i="32"/>
  <c r="D363" i="32"/>
  <c r="V362" i="32"/>
  <c r="D362" i="32"/>
  <c r="D361" i="32"/>
  <c r="D360" i="32"/>
  <c r="V359" i="32"/>
  <c r="D359" i="32"/>
  <c r="D358" i="32"/>
  <c r="D357" i="32"/>
  <c r="V356" i="32"/>
  <c r="D356" i="32"/>
  <c r="D355" i="32"/>
  <c r="D354" i="32"/>
  <c r="V353" i="32"/>
  <c r="D353" i="32"/>
  <c r="D352" i="32"/>
  <c r="D351" i="32"/>
  <c r="V350" i="32"/>
  <c r="D350" i="32"/>
  <c r="D349" i="32"/>
  <c r="D348" i="32"/>
  <c r="V347" i="32"/>
  <c r="D347" i="32"/>
  <c r="D346" i="32"/>
  <c r="D345" i="32"/>
  <c r="V344" i="32"/>
  <c r="D344" i="32"/>
  <c r="D343" i="32"/>
  <c r="D342" i="32"/>
  <c r="V341" i="32"/>
  <c r="D341" i="32"/>
  <c r="D340" i="32"/>
  <c r="D339" i="32"/>
  <c r="V338" i="32"/>
  <c r="D338" i="32"/>
  <c r="D337" i="32"/>
  <c r="D336" i="32"/>
  <c r="V335" i="32"/>
  <c r="D335" i="32"/>
  <c r="D334" i="32"/>
  <c r="D333" i="32"/>
  <c r="V332" i="32"/>
  <c r="D332" i="32"/>
  <c r="D331" i="32"/>
  <c r="D330" i="32"/>
  <c r="V329" i="32"/>
  <c r="D329" i="32"/>
  <c r="D328" i="32"/>
  <c r="D327" i="32"/>
  <c r="V326" i="32"/>
  <c r="D326" i="32"/>
  <c r="D325" i="32"/>
  <c r="D324" i="32"/>
  <c r="V323" i="32"/>
  <c r="D323" i="32"/>
  <c r="D322" i="32"/>
  <c r="D321" i="32"/>
  <c r="V320" i="32"/>
  <c r="D320" i="32"/>
  <c r="D319" i="32"/>
  <c r="D318" i="32"/>
  <c r="V317" i="32"/>
  <c r="D317" i="32"/>
  <c r="D316" i="32"/>
  <c r="D315" i="32"/>
  <c r="V314" i="32"/>
  <c r="D314" i="32"/>
  <c r="D313" i="32"/>
  <c r="D312" i="32"/>
  <c r="V311" i="32"/>
  <c r="D311" i="32"/>
  <c r="D310" i="32"/>
  <c r="D309" i="32"/>
  <c r="V308" i="32"/>
  <c r="D308" i="32"/>
  <c r="D307" i="32"/>
  <c r="D306" i="32"/>
  <c r="V305" i="32"/>
  <c r="D305" i="32"/>
  <c r="D304" i="32"/>
  <c r="D303" i="32"/>
  <c r="V302" i="32"/>
  <c r="D302" i="32"/>
  <c r="D301" i="32"/>
  <c r="D300" i="32"/>
  <c r="V299" i="32"/>
  <c r="D299" i="32"/>
  <c r="D298" i="32"/>
  <c r="D297" i="32"/>
  <c r="V296" i="32"/>
  <c r="D296" i="32"/>
  <c r="D295" i="32"/>
  <c r="D294" i="32"/>
  <c r="V293" i="32"/>
  <c r="D293" i="32"/>
  <c r="D292" i="32"/>
  <c r="D291" i="32"/>
  <c r="V290" i="32"/>
  <c r="D290" i="32"/>
  <c r="D289" i="32"/>
  <c r="D288" i="32"/>
  <c r="V287" i="32"/>
  <c r="D287" i="32"/>
  <c r="D286" i="32"/>
  <c r="D285" i="32"/>
  <c r="V284" i="32"/>
  <c r="D284" i="32"/>
  <c r="D283" i="32"/>
  <c r="D282" i="32"/>
  <c r="V281" i="32"/>
  <c r="D281" i="32"/>
  <c r="D280" i="32"/>
  <c r="D279" i="32"/>
  <c r="V278" i="32"/>
  <c r="D278" i="32"/>
  <c r="D277" i="32"/>
  <c r="D276" i="32"/>
  <c r="V275" i="32"/>
  <c r="D275" i="32"/>
  <c r="D274" i="32"/>
  <c r="D273" i="32"/>
  <c r="V272" i="32"/>
  <c r="D272" i="32"/>
  <c r="D271" i="32"/>
  <c r="D270" i="32"/>
  <c r="V269" i="32"/>
  <c r="D269" i="32"/>
  <c r="D268" i="32"/>
  <c r="D267" i="32"/>
  <c r="V266" i="32"/>
  <c r="D266" i="32"/>
  <c r="D265" i="32"/>
  <c r="D264" i="32"/>
  <c r="D263" i="32"/>
  <c r="D262" i="32"/>
  <c r="AE261" i="32"/>
  <c r="AE264" i="32" s="1"/>
  <c r="D261" i="32"/>
  <c r="V260" i="32"/>
  <c r="D260" i="32"/>
  <c r="D259" i="32"/>
  <c r="D258" i="32"/>
  <c r="V257" i="32"/>
  <c r="D257" i="32"/>
  <c r="D256" i="32"/>
  <c r="D255" i="32"/>
  <c r="V254" i="32"/>
  <c r="D254" i="32"/>
  <c r="D253" i="32"/>
  <c r="D252" i="32"/>
  <c r="V251" i="32"/>
  <c r="D251" i="32"/>
  <c r="D250" i="32"/>
  <c r="D249" i="32"/>
  <c r="V248" i="32"/>
  <c r="D248" i="32"/>
  <c r="D247" i="32"/>
  <c r="D246" i="32"/>
  <c r="V245" i="32"/>
  <c r="D245" i="32"/>
  <c r="D244" i="32"/>
  <c r="D243" i="32"/>
  <c r="V242" i="32"/>
  <c r="D242" i="32"/>
  <c r="D241" i="32"/>
  <c r="D240" i="32"/>
  <c r="V239" i="32"/>
  <c r="D239" i="32"/>
  <c r="D238" i="32"/>
  <c r="D237" i="32"/>
  <c r="V236" i="32"/>
  <c r="D236" i="32"/>
  <c r="D235" i="32"/>
  <c r="D234" i="32"/>
  <c r="V233" i="32"/>
  <c r="D233" i="32"/>
  <c r="D232" i="32"/>
  <c r="D231" i="32"/>
  <c r="V230" i="32"/>
  <c r="D230" i="32"/>
  <c r="D229" i="32"/>
  <c r="D228" i="32"/>
  <c r="V227" i="32"/>
  <c r="D227" i="32"/>
  <c r="D226" i="32"/>
  <c r="D225" i="32"/>
  <c r="V224" i="32"/>
  <c r="D224" i="32"/>
  <c r="D223" i="32"/>
  <c r="D222" i="32"/>
  <c r="V221" i="32"/>
  <c r="D221" i="32"/>
  <c r="D220" i="32"/>
  <c r="D219" i="32"/>
  <c r="V218" i="32"/>
  <c r="D218" i="32"/>
  <c r="D217" i="32"/>
  <c r="D216" i="32"/>
  <c r="V215" i="32"/>
  <c r="D215" i="32"/>
  <c r="D214" i="32"/>
  <c r="D213" i="32"/>
  <c r="V212" i="32"/>
  <c r="D212" i="32"/>
  <c r="D211" i="32"/>
  <c r="D210" i="32"/>
  <c r="V209" i="32"/>
  <c r="D209" i="32"/>
  <c r="D208" i="32"/>
  <c r="D207" i="32"/>
  <c r="V206" i="32"/>
  <c r="D206" i="32"/>
  <c r="D205" i="32"/>
  <c r="D204" i="32"/>
  <c r="V203" i="32"/>
  <c r="D203" i="32"/>
  <c r="D202" i="32"/>
  <c r="D201" i="32"/>
  <c r="V200" i="32"/>
  <c r="D200" i="32"/>
  <c r="D199" i="32"/>
  <c r="D198" i="32"/>
  <c r="V197" i="32"/>
  <c r="D197" i="32"/>
  <c r="D196" i="32"/>
  <c r="D195" i="32"/>
  <c r="V194" i="32"/>
  <c r="D194" i="32"/>
  <c r="D193" i="32"/>
  <c r="D192" i="32"/>
  <c r="V191" i="32"/>
  <c r="D191" i="32"/>
  <c r="D190" i="32"/>
  <c r="D189" i="32"/>
  <c r="V188" i="32"/>
  <c r="D188" i="32"/>
  <c r="D187" i="32"/>
  <c r="D186" i="32"/>
  <c r="V185" i="32"/>
  <c r="D185" i="32"/>
  <c r="D184" i="32"/>
  <c r="D183" i="32"/>
  <c r="V182" i="32"/>
  <c r="D182" i="32"/>
  <c r="D181" i="32"/>
  <c r="D180" i="32"/>
  <c r="V179" i="32"/>
  <c r="D179" i="32"/>
  <c r="D178" i="32"/>
  <c r="D177" i="32"/>
  <c r="V176" i="32"/>
  <c r="D176" i="32"/>
  <c r="D175" i="32"/>
  <c r="D174" i="32"/>
  <c r="V173" i="32"/>
  <c r="D173" i="32"/>
  <c r="D172" i="32"/>
  <c r="D171" i="32"/>
  <c r="V170" i="32"/>
  <c r="D170" i="32"/>
  <c r="D169" i="32"/>
  <c r="D168" i="32"/>
  <c r="V167" i="32"/>
  <c r="D167" i="32"/>
  <c r="D166" i="32"/>
  <c r="D165" i="32"/>
  <c r="V164" i="32"/>
  <c r="D164" i="32"/>
  <c r="D163" i="32"/>
  <c r="D162" i="32"/>
  <c r="V161" i="32"/>
  <c r="D161" i="32"/>
  <c r="D160" i="32"/>
  <c r="D159" i="32"/>
  <c r="V158" i="32"/>
  <c r="D158" i="32"/>
  <c r="D157" i="32"/>
  <c r="D156" i="32"/>
  <c r="V155" i="32"/>
  <c r="D155" i="32"/>
  <c r="D154" i="32"/>
  <c r="D153" i="32"/>
  <c r="V152" i="32"/>
  <c r="D152" i="32"/>
  <c r="D151" i="32"/>
  <c r="D150" i="32"/>
  <c r="V149" i="32"/>
  <c r="D149" i="32"/>
  <c r="D148" i="32"/>
  <c r="D147" i="32"/>
  <c r="V146" i="32"/>
  <c r="D146" i="32"/>
  <c r="D145" i="32"/>
  <c r="D144" i="32"/>
  <c r="V143" i="32"/>
  <c r="D143" i="32"/>
  <c r="D142" i="32"/>
  <c r="D141" i="32"/>
  <c r="V140" i="32"/>
  <c r="D140" i="32"/>
  <c r="D139" i="32"/>
  <c r="D138" i="32"/>
  <c r="V137" i="32"/>
  <c r="D137" i="32"/>
  <c r="D136" i="32"/>
  <c r="D135" i="32"/>
  <c r="V134" i="32"/>
  <c r="D134" i="32"/>
  <c r="D133" i="32"/>
  <c r="D132" i="32"/>
  <c r="V131" i="32"/>
  <c r="D131" i="32"/>
  <c r="D130" i="32"/>
  <c r="D129" i="32"/>
  <c r="V128" i="32"/>
  <c r="D128" i="32"/>
  <c r="D127" i="32"/>
  <c r="D126" i="32"/>
  <c r="V125" i="32"/>
  <c r="D125" i="32"/>
  <c r="D124" i="32"/>
  <c r="D123" i="32"/>
  <c r="V122" i="32"/>
  <c r="D122" i="32"/>
  <c r="D121" i="32"/>
  <c r="D120" i="32"/>
  <c r="V119" i="32"/>
  <c r="D119" i="32"/>
  <c r="D118" i="32"/>
  <c r="D117" i="32"/>
  <c r="V116" i="32"/>
  <c r="D116" i="32"/>
  <c r="D115" i="32"/>
  <c r="D114" i="32"/>
  <c r="V113" i="32"/>
  <c r="D113" i="32"/>
  <c r="D112" i="32"/>
  <c r="D111" i="32"/>
  <c r="V110" i="32"/>
  <c r="D110" i="32"/>
  <c r="D109" i="32"/>
  <c r="D108" i="32"/>
  <c r="V107" i="32"/>
  <c r="D107" i="32"/>
  <c r="D106" i="32"/>
  <c r="D105" i="32"/>
  <c r="V104" i="32"/>
  <c r="D104" i="32"/>
  <c r="D103" i="32"/>
  <c r="D102" i="32"/>
  <c r="V101" i="32"/>
  <c r="D101" i="32"/>
  <c r="D100" i="32"/>
  <c r="D99" i="32"/>
  <c r="V98" i="32"/>
  <c r="D98" i="32"/>
  <c r="D97" i="32"/>
  <c r="D96" i="32"/>
  <c r="V95" i="32"/>
  <c r="D95" i="32"/>
  <c r="D94" i="32"/>
  <c r="D93" i="32"/>
  <c r="V92" i="32"/>
  <c r="D92" i="32"/>
  <c r="D91" i="32"/>
  <c r="D90" i="32"/>
  <c r="V89" i="32"/>
  <c r="D89" i="32"/>
  <c r="D88" i="32"/>
  <c r="D87" i="32"/>
  <c r="V86" i="32"/>
  <c r="D86" i="32"/>
  <c r="D85" i="32"/>
  <c r="D84" i="32"/>
  <c r="V83" i="32"/>
  <c r="D83" i="32"/>
  <c r="D82" i="32"/>
  <c r="D81" i="32"/>
  <c r="V80" i="32"/>
  <c r="D80" i="32"/>
  <c r="D79" i="32"/>
  <c r="D78" i="32"/>
  <c r="V77" i="32"/>
  <c r="D77" i="32"/>
  <c r="D76" i="32"/>
  <c r="D75" i="32"/>
  <c r="V74" i="32"/>
  <c r="D74" i="32"/>
  <c r="D73" i="32"/>
  <c r="D72" i="32"/>
  <c r="V71" i="32"/>
  <c r="D71" i="32"/>
  <c r="D70" i="32"/>
  <c r="D69" i="32"/>
  <c r="V68" i="32"/>
  <c r="D68" i="32"/>
  <c r="D67" i="32"/>
  <c r="D66" i="32"/>
  <c r="V65" i="32"/>
  <c r="D65" i="32"/>
  <c r="D64" i="32"/>
  <c r="D63" i="32"/>
  <c r="V62" i="32"/>
  <c r="D62" i="32"/>
  <c r="D61" i="32"/>
  <c r="D60" i="32"/>
  <c r="V59" i="32"/>
  <c r="D59" i="32"/>
  <c r="D58" i="32"/>
  <c r="D57" i="32"/>
  <c r="V56" i="32"/>
  <c r="D56" i="32"/>
  <c r="D55" i="32"/>
  <c r="D54" i="32"/>
  <c r="V53" i="32"/>
  <c r="D53" i="32"/>
  <c r="D52" i="32"/>
  <c r="D51" i="32"/>
  <c r="V50" i="32"/>
  <c r="D50" i="32"/>
  <c r="D49" i="32"/>
  <c r="D48" i="32"/>
  <c r="V47" i="32"/>
  <c r="D47" i="32"/>
  <c r="D46" i="32"/>
  <c r="V44" i="32"/>
  <c r="D44" i="32"/>
  <c r="D43" i="32"/>
  <c r="D42" i="32"/>
  <c r="V41" i="32"/>
  <c r="D41" i="32"/>
  <c r="D40" i="32"/>
  <c r="D39" i="32"/>
  <c r="V38" i="32"/>
  <c r="D38" i="32"/>
  <c r="D37" i="32"/>
  <c r="D36" i="32"/>
  <c r="V35" i="32"/>
  <c r="D35" i="32"/>
  <c r="D34" i="32"/>
  <c r="D33" i="32"/>
  <c r="V32" i="32"/>
  <c r="D31" i="32"/>
  <c r="D30" i="32"/>
  <c r="V29" i="32"/>
  <c r="D29" i="32"/>
  <c r="D28" i="32"/>
  <c r="D27" i="32"/>
  <c r="V26" i="32"/>
  <c r="D26" i="32"/>
  <c r="D25" i="32"/>
  <c r="D24" i="32"/>
  <c r="V23" i="32"/>
  <c r="D23" i="32"/>
  <c r="D22" i="32"/>
  <c r="D21" i="32"/>
  <c r="V20" i="32"/>
  <c r="D20" i="32"/>
  <c r="D19" i="32"/>
  <c r="D18" i="32"/>
  <c r="V17" i="32"/>
  <c r="D17" i="32"/>
  <c r="D16" i="32"/>
  <c r="D15" i="32"/>
  <c r="V14" i="32"/>
  <c r="D14" i="32"/>
  <c r="D13" i="32"/>
  <c r="D12" i="32"/>
  <c r="V11" i="32"/>
  <c r="D11" i="32"/>
  <c r="D10" i="32"/>
  <c r="D9" i="32"/>
  <c r="V8" i="32"/>
  <c r="D8" i="32"/>
  <c r="D7" i="32"/>
  <c r="D6" i="32"/>
  <c r="V5" i="32"/>
  <c r="D5" i="32"/>
  <c r="D4" i="32"/>
  <c r="D3" i="32"/>
  <c r="V2" i="32"/>
  <c r="D2" i="32"/>
  <c r="G3" i="28"/>
  <c r="G2" i="28"/>
  <c r="G83" i="28"/>
  <c r="G80" i="28"/>
  <c r="D2" i="1"/>
  <c r="D40" i="1"/>
  <c r="D25" i="1"/>
  <c r="G9" i="17"/>
  <c r="M261" i="28"/>
  <c r="M264" i="28" s="1"/>
  <c r="L3" i="28"/>
  <c r="L4" i="28"/>
  <c r="L5" i="28"/>
  <c r="L6" i="28"/>
  <c r="L7" i="28"/>
  <c r="L8" i="28"/>
  <c r="L9" i="28"/>
  <c r="L10" i="28"/>
  <c r="L11" i="28"/>
  <c r="L12" i="28"/>
  <c r="L13" i="28"/>
  <c r="L14" i="28"/>
  <c r="L15" i="28"/>
  <c r="L16" i="28"/>
  <c r="L17" i="28"/>
  <c r="L18" i="28"/>
  <c r="L19" i="28"/>
  <c r="L20" i="28"/>
  <c r="L21" i="28"/>
  <c r="L22" i="28"/>
  <c r="L23" i="28"/>
  <c r="L24" i="28"/>
  <c r="L25" i="28"/>
  <c r="L26" i="28"/>
  <c r="L27" i="28"/>
  <c r="L28" i="28"/>
  <c r="L29" i="28"/>
  <c r="L30" i="28"/>
  <c r="L31" i="28"/>
  <c r="L32" i="28"/>
  <c r="L33" i="28"/>
  <c r="L34" i="28"/>
  <c r="L35" i="28"/>
  <c r="L36" i="28"/>
  <c r="L37" i="28"/>
  <c r="L38" i="28"/>
  <c r="L39" i="28"/>
  <c r="L40" i="28"/>
  <c r="L41" i="28"/>
  <c r="L42" i="28"/>
  <c r="L43" i="28"/>
  <c r="L44" i="28"/>
  <c r="L45" i="28"/>
  <c r="L46" i="28"/>
  <c r="L47" i="28"/>
  <c r="L48" i="28"/>
  <c r="L49" i="28"/>
  <c r="L50" i="28"/>
  <c r="L51" i="28"/>
  <c r="L52" i="28"/>
  <c r="L53" i="28"/>
  <c r="L54" i="28"/>
  <c r="L55" i="28"/>
  <c r="L56" i="28"/>
  <c r="L57" i="28"/>
  <c r="L58" i="28"/>
  <c r="L59" i="28"/>
  <c r="L60" i="28"/>
  <c r="L61" i="28"/>
  <c r="L62" i="28"/>
  <c r="L63" i="28"/>
  <c r="L64" i="28"/>
  <c r="L65" i="28"/>
  <c r="L66" i="28"/>
  <c r="L67" i="28"/>
  <c r="L68" i="28"/>
  <c r="L69" i="28"/>
  <c r="L70" i="28"/>
  <c r="L71" i="28"/>
  <c r="L72" i="28"/>
  <c r="L73" i="28"/>
  <c r="L74" i="28"/>
  <c r="L75" i="28"/>
  <c r="L76" i="28"/>
  <c r="L77" i="28"/>
  <c r="L78" i="28"/>
  <c r="L79" i="28"/>
  <c r="L80" i="28"/>
  <c r="L81" i="28"/>
  <c r="L82" i="28"/>
  <c r="L83" i="28"/>
  <c r="L84" i="28"/>
  <c r="L85" i="28"/>
  <c r="L86" i="28"/>
  <c r="L87" i="28"/>
  <c r="L88" i="28"/>
  <c r="L89" i="28"/>
  <c r="L90" i="28"/>
  <c r="L91" i="28"/>
  <c r="L92" i="28"/>
  <c r="L93" i="28"/>
  <c r="L94" i="28"/>
  <c r="L95" i="28"/>
  <c r="L96" i="28"/>
  <c r="L97" i="28"/>
  <c r="L98" i="28"/>
  <c r="L99" i="28"/>
  <c r="L100" i="28"/>
  <c r="L101" i="28"/>
  <c r="L102" i="28"/>
  <c r="L103" i="28"/>
  <c r="L104" i="28"/>
  <c r="L105" i="28"/>
  <c r="L106" i="28"/>
  <c r="L107" i="28"/>
  <c r="L108" i="28"/>
  <c r="L109" i="28"/>
  <c r="L110" i="28"/>
  <c r="L111" i="28"/>
  <c r="L112" i="28"/>
  <c r="L113" i="28"/>
  <c r="L114" i="28"/>
  <c r="L115" i="28"/>
  <c r="L116" i="28"/>
  <c r="L117" i="28"/>
  <c r="L118" i="28"/>
  <c r="L119" i="28"/>
  <c r="L120" i="28"/>
  <c r="L121" i="28"/>
  <c r="L122" i="28"/>
  <c r="L123" i="28"/>
  <c r="L124" i="28"/>
  <c r="L125" i="28"/>
  <c r="L126" i="28"/>
  <c r="L127" i="28"/>
  <c r="L128" i="28"/>
  <c r="L129" i="28"/>
  <c r="L130" i="28"/>
  <c r="L131" i="28"/>
  <c r="L132" i="28"/>
  <c r="L133" i="28"/>
  <c r="L134" i="28"/>
  <c r="L135" i="28"/>
  <c r="L136" i="28"/>
  <c r="L137" i="28"/>
  <c r="L138" i="28"/>
  <c r="L139" i="28"/>
  <c r="L140" i="28"/>
  <c r="L141" i="28"/>
  <c r="L142" i="28"/>
  <c r="L143" i="28"/>
  <c r="L144" i="28"/>
  <c r="L145" i="28"/>
  <c r="L146" i="28"/>
  <c r="L147" i="28"/>
  <c r="L148" i="28"/>
  <c r="L149" i="28"/>
  <c r="L150" i="28"/>
  <c r="L151" i="28"/>
  <c r="L152" i="28"/>
  <c r="L153" i="28"/>
  <c r="L154" i="28"/>
  <c r="L155" i="28"/>
  <c r="L156" i="28"/>
  <c r="L157" i="28"/>
  <c r="L158" i="28"/>
  <c r="L159" i="28"/>
  <c r="L160" i="28"/>
  <c r="L161" i="28"/>
  <c r="L162" i="28"/>
  <c r="L163" i="28"/>
  <c r="L164" i="28"/>
  <c r="L165" i="28"/>
  <c r="L166" i="28"/>
  <c r="L167" i="28"/>
  <c r="L168" i="28"/>
  <c r="L169" i="28"/>
  <c r="L170" i="28"/>
  <c r="L171" i="28"/>
  <c r="L172" i="28"/>
  <c r="L173" i="28"/>
  <c r="L174" i="28"/>
  <c r="L175" i="28"/>
  <c r="L176" i="28"/>
  <c r="L177" i="28"/>
  <c r="L178" i="28"/>
  <c r="L179" i="28"/>
  <c r="L180" i="28"/>
  <c r="L181" i="28"/>
  <c r="L182" i="28"/>
  <c r="L183" i="28"/>
  <c r="L184" i="28"/>
  <c r="L185" i="28"/>
  <c r="L186" i="28"/>
  <c r="L187" i="28"/>
  <c r="L188" i="28"/>
  <c r="L189" i="28"/>
  <c r="L190" i="28"/>
  <c r="L191" i="28"/>
  <c r="L192" i="28"/>
  <c r="L193" i="28"/>
  <c r="L194" i="28"/>
  <c r="L195" i="28"/>
  <c r="L196" i="28"/>
  <c r="L197" i="28"/>
  <c r="L198" i="28"/>
  <c r="L199" i="28"/>
  <c r="L200" i="28"/>
  <c r="L201" i="28"/>
  <c r="L202" i="28"/>
  <c r="L203" i="28"/>
  <c r="L204" i="28"/>
  <c r="L205" i="28"/>
  <c r="L206" i="28"/>
  <c r="L207" i="28"/>
  <c r="L208" i="28"/>
  <c r="L209" i="28"/>
  <c r="L210" i="28"/>
  <c r="L211" i="28"/>
  <c r="L212" i="28"/>
  <c r="L213" i="28"/>
  <c r="L214" i="28"/>
  <c r="L215" i="28"/>
  <c r="L216" i="28"/>
  <c r="L217" i="28"/>
  <c r="L218" i="28"/>
  <c r="L219" i="28"/>
  <c r="L220" i="28"/>
  <c r="L221" i="28"/>
  <c r="L222" i="28"/>
  <c r="L223" i="28"/>
  <c r="L224" i="28"/>
  <c r="L225" i="28"/>
  <c r="L226" i="28"/>
  <c r="L227" i="28"/>
  <c r="L228" i="28"/>
  <c r="L229" i="28"/>
  <c r="L230" i="28"/>
  <c r="L231" i="28"/>
  <c r="L232" i="28"/>
  <c r="L233" i="28"/>
  <c r="L234" i="28"/>
  <c r="L235" i="28"/>
  <c r="L236" i="28"/>
  <c r="L237" i="28"/>
  <c r="L238" i="28"/>
  <c r="L239" i="28"/>
  <c r="L240" i="28"/>
  <c r="L241" i="28"/>
  <c r="L242" i="28"/>
  <c r="L243" i="28"/>
  <c r="L244" i="28"/>
  <c r="L245" i="28"/>
  <c r="L246" i="28"/>
  <c r="L247" i="28"/>
  <c r="L248" i="28"/>
  <c r="L249" i="28"/>
  <c r="L250" i="28"/>
  <c r="L251" i="28"/>
  <c r="L252" i="28"/>
  <c r="L253" i="28"/>
  <c r="L254" i="28"/>
  <c r="L255" i="28"/>
  <c r="L256" i="28"/>
  <c r="L257" i="28"/>
  <c r="L258" i="28"/>
  <c r="L259" i="28"/>
  <c r="L260" i="28"/>
  <c r="L261" i="28"/>
  <c r="L262" i="28"/>
  <c r="L263" i="28"/>
  <c r="L264" i="28"/>
  <c r="L265" i="28"/>
  <c r="L266" i="28"/>
  <c r="L267" i="28"/>
  <c r="L268" i="28"/>
  <c r="L269" i="28"/>
  <c r="L270" i="28"/>
  <c r="L271" i="28"/>
  <c r="L272" i="28"/>
  <c r="L273" i="28"/>
  <c r="L274" i="28"/>
  <c r="L275" i="28"/>
  <c r="L276" i="28"/>
  <c r="L277" i="28"/>
  <c r="L278" i="28"/>
  <c r="L279" i="28"/>
  <c r="L280" i="28"/>
  <c r="L281" i="28"/>
  <c r="L282" i="28"/>
  <c r="L283" i="28"/>
  <c r="L284" i="28"/>
  <c r="L285" i="28"/>
  <c r="L286" i="28"/>
  <c r="L287" i="28"/>
  <c r="L288" i="28"/>
  <c r="L289" i="28"/>
  <c r="L290" i="28"/>
  <c r="L291" i="28"/>
  <c r="L292" i="28"/>
  <c r="L293" i="28"/>
  <c r="L294" i="28"/>
  <c r="L295" i="28"/>
  <c r="L296" i="28"/>
  <c r="L297" i="28"/>
  <c r="L298" i="28"/>
  <c r="L299" i="28"/>
  <c r="L300" i="28"/>
  <c r="L301" i="28"/>
  <c r="L302" i="28"/>
  <c r="L303" i="28"/>
  <c r="L304" i="28"/>
  <c r="L305" i="28"/>
  <c r="L306" i="28"/>
  <c r="L307" i="28"/>
  <c r="L308" i="28"/>
  <c r="L309" i="28"/>
  <c r="L310" i="28"/>
  <c r="L311" i="28"/>
  <c r="L312" i="28"/>
  <c r="L313" i="28"/>
  <c r="L314" i="28"/>
  <c r="L315" i="28"/>
  <c r="L316" i="28"/>
  <c r="L317" i="28"/>
  <c r="L318" i="28"/>
  <c r="L319" i="28"/>
  <c r="L320" i="28"/>
  <c r="L321" i="28"/>
  <c r="L322" i="28"/>
  <c r="L323" i="28"/>
  <c r="L324" i="28"/>
  <c r="L325" i="28"/>
  <c r="L326" i="28"/>
  <c r="L327" i="28"/>
  <c r="L328" i="28"/>
  <c r="L329" i="28"/>
  <c r="L330" i="28"/>
  <c r="L331" i="28"/>
  <c r="L332" i="28"/>
  <c r="L333" i="28"/>
  <c r="L334" i="28"/>
  <c r="L335" i="28"/>
  <c r="L336" i="28"/>
  <c r="L337" i="28"/>
  <c r="L338" i="28"/>
  <c r="L339" i="28"/>
  <c r="L340" i="28"/>
  <c r="L341" i="28"/>
  <c r="L342" i="28"/>
  <c r="L343" i="28"/>
  <c r="L344" i="28"/>
  <c r="L345" i="28"/>
  <c r="L346" i="28"/>
  <c r="L347" i="28"/>
  <c r="L348" i="28"/>
  <c r="L349" i="28"/>
  <c r="L350" i="28"/>
  <c r="L351" i="28"/>
  <c r="L352" i="28"/>
  <c r="L353" i="28"/>
  <c r="L354" i="28"/>
  <c r="L355" i="28"/>
  <c r="L356" i="28"/>
  <c r="L357" i="28"/>
  <c r="L358" i="28"/>
  <c r="L359" i="28"/>
  <c r="L360" i="28"/>
  <c r="L361" i="28"/>
  <c r="L362" i="28"/>
  <c r="L363" i="28"/>
  <c r="L364" i="28"/>
  <c r="L365" i="28"/>
  <c r="L366" i="28"/>
  <c r="L367" i="28"/>
  <c r="L368" i="28"/>
  <c r="L369" i="28"/>
  <c r="L370" i="28"/>
  <c r="L371" i="28"/>
  <c r="L372" i="28"/>
  <c r="L373" i="28"/>
  <c r="L2" i="28"/>
  <c r="K3" i="28"/>
  <c r="K4" i="28"/>
  <c r="K5" i="28"/>
  <c r="K6" i="28"/>
  <c r="K7" i="28"/>
  <c r="K8" i="28"/>
  <c r="K9" i="28"/>
  <c r="K10" i="28"/>
  <c r="K11" i="28"/>
  <c r="K12" i="28"/>
  <c r="K13" i="28"/>
  <c r="K14" i="28"/>
  <c r="K15" i="28"/>
  <c r="K16" i="28"/>
  <c r="K17" i="28"/>
  <c r="K18" i="28"/>
  <c r="K19" i="28"/>
  <c r="K20" i="28"/>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50" i="28"/>
  <c r="K51" i="28"/>
  <c r="K52" i="28"/>
  <c r="K53" i="28"/>
  <c r="K54" i="28"/>
  <c r="K55" i="28"/>
  <c r="K56" i="28"/>
  <c r="K57" i="28"/>
  <c r="K58" i="28"/>
  <c r="K59" i="28"/>
  <c r="K60" i="28"/>
  <c r="K61" i="28"/>
  <c r="K62" i="28"/>
  <c r="K63" i="28"/>
  <c r="K64" i="28"/>
  <c r="K65" i="28"/>
  <c r="K66" i="28"/>
  <c r="K67" i="28"/>
  <c r="K68" i="28"/>
  <c r="K69" i="28"/>
  <c r="K70" i="28"/>
  <c r="K71" i="28"/>
  <c r="K72" i="28"/>
  <c r="K73" i="28"/>
  <c r="K74" i="28"/>
  <c r="K75" i="28"/>
  <c r="K76" i="28"/>
  <c r="K77" i="28"/>
  <c r="K78" i="28"/>
  <c r="K79" i="28"/>
  <c r="K80" i="28"/>
  <c r="K81" i="28"/>
  <c r="K82" i="28"/>
  <c r="K83" i="28"/>
  <c r="K84" i="28"/>
  <c r="K85" i="28"/>
  <c r="K86" i="28"/>
  <c r="K87" i="28"/>
  <c r="K88" i="28"/>
  <c r="K89" i="28"/>
  <c r="K90" i="28"/>
  <c r="K91" i="28"/>
  <c r="K92" i="28"/>
  <c r="K93" i="28"/>
  <c r="K94" i="28"/>
  <c r="K95" i="28"/>
  <c r="K96" i="28"/>
  <c r="K97" i="28"/>
  <c r="K98" i="28"/>
  <c r="K99" i="28"/>
  <c r="K100" i="28"/>
  <c r="K101" i="28"/>
  <c r="K102" i="28"/>
  <c r="K103" i="28"/>
  <c r="K104" i="28"/>
  <c r="K105" i="28"/>
  <c r="K106" i="28"/>
  <c r="K107" i="28"/>
  <c r="K108" i="28"/>
  <c r="K109" i="28"/>
  <c r="K110" i="28"/>
  <c r="K111" i="28"/>
  <c r="K112" i="28"/>
  <c r="K113" i="28"/>
  <c r="K114" i="28"/>
  <c r="K115" i="28"/>
  <c r="K116" i="28"/>
  <c r="K117" i="28"/>
  <c r="K118" i="28"/>
  <c r="K119" i="28"/>
  <c r="K120" i="28"/>
  <c r="K121" i="28"/>
  <c r="K122" i="28"/>
  <c r="K123" i="28"/>
  <c r="K124" i="28"/>
  <c r="K125" i="28"/>
  <c r="K126" i="28"/>
  <c r="K127" i="28"/>
  <c r="K128" i="28"/>
  <c r="K129" i="28"/>
  <c r="K130" i="28"/>
  <c r="K131" i="28"/>
  <c r="K132" i="28"/>
  <c r="K133" i="28"/>
  <c r="K134" i="28"/>
  <c r="K135" i="28"/>
  <c r="K136" i="28"/>
  <c r="K137" i="28"/>
  <c r="K138" i="28"/>
  <c r="K139" i="28"/>
  <c r="K140" i="28"/>
  <c r="K141" i="28"/>
  <c r="K142" i="28"/>
  <c r="K143" i="28"/>
  <c r="K144" i="28"/>
  <c r="K145" i="28"/>
  <c r="K146" i="28"/>
  <c r="K147" i="28"/>
  <c r="K148" i="28"/>
  <c r="K149" i="28"/>
  <c r="K150" i="28"/>
  <c r="K151" i="28"/>
  <c r="K152" i="28"/>
  <c r="K153" i="28"/>
  <c r="K154" i="28"/>
  <c r="K155" i="28"/>
  <c r="K156" i="28"/>
  <c r="K157" i="28"/>
  <c r="K158" i="28"/>
  <c r="K159" i="28"/>
  <c r="K160" i="28"/>
  <c r="K161" i="28"/>
  <c r="K162" i="28"/>
  <c r="K163" i="28"/>
  <c r="K164" i="28"/>
  <c r="K165" i="28"/>
  <c r="K166" i="28"/>
  <c r="K167" i="28"/>
  <c r="K168" i="28"/>
  <c r="K169" i="28"/>
  <c r="K170" i="28"/>
  <c r="K171" i="28"/>
  <c r="K172" i="28"/>
  <c r="K173" i="28"/>
  <c r="K174" i="28"/>
  <c r="K175" i="28"/>
  <c r="K176" i="28"/>
  <c r="K177" i="28"/>
  <c r="K178" i="28"/>
  <c r="K179" i="28"/>
  <c r="K180" i="28"/>
  <c r="K181" i="28"/>
  <c r="K182" i="28"/>
  <c r="K183" i="28"/>
  <c r="K184" i="28"/>
  <c r="K185" i="28"/>
  <c r="K186" i="28"/>
  <c r="K187" i="28"/>
  <c r="K188" i="28"/>
  <c r="K189" i="28"/>
  <c r="K190" i="28"/>
  <c r="K191" i="28"/>
  <c r="K192" i="28"/>
  <c r="K193" i="28"/>
  <c r="K194" i="28"/>
  <c r="K195" i="28"/>
  <c r="K196" i="28"/>
  <c r="K197" i="28"/>
  <c r="K198" i="28"/>
  <c r="K199" i="28"/>
  <c r="K200" i="28"/>
  <c r="K201" i="28"/>
  <c r="K202" i="28"/>
  <c r="K203" i="28"/>
  <c r="K204" i="28"/>
  <c r="K205" i="28"/>
  <c r="K206" i="28"/>
  <c r="K207" i="28"/>
  <c r="K208" i="28"/>
  <c r="K209" i="28"/>
  <c r="K210" i="28"/>
  <c r="K211" i="28"/>
  <c r="K212" i="28"/>
  <c r="K213" i="28"/>
  <c r="K214" i="28"/>
  <c r="K215" i="28"/>
  <c r="K216" i="28"/>
  <c r="K217" i="28"/>
  <c r="K218" i="28"/>
  <c r="K219" i="28"/>
  <c r="K220" i="28"/>
  <c r="K221" i="28"/>
  <c r="K222" i="28"/>
  <c r="K223" i="28"/>
  <c r="K224" i="28"/>
  <c r="K225" i="28"/>
  <c r="K226" i="28"/>
  <c r="K227" i="28"/>
  <c r="K228" i="28"/>
  <c r="K229" i="28"/>
  <c r="K230" i="28"/>
  <c r="K231" i="28"/>
  <c r="K232" i="28"/>
  <c r="K233" i="28"/>
  <c r="K234" i="28"/>
  <c r="K235" i="28"/>
  <c r="K236" i="28"/>
  <c r="K237" i="28"/>
  <c r="K238" i="28"/>
  <c r="K239" i="28"/>
  <c r="K240" i="28"/>
  <c r="K241" i="28"/>
  <c r="K242" i="28"/>
  <c r="K243" i="28"/>
  <c r="K244" i="28"/>
  <c r="K245" i="28"/>
  <c r="K246" i="28"/>
  <c r="K247" i="28"/>
  <c r="K248" i="28"/>
  <c r="K249" i="28"/>
  <c r="K250" i="28"/>
  <c r="K251" i="28"/>
  <c r="K252" i="28"/>
  <c r="K253" i="28"/>
  <c r="K254" i="28"/>
  <c r="K255" i="28"/>
  <c r="K256" i="28"/>
  <c r="K257" i="28"/>
  <c r="K258" i="28"/>
  <c r="K259" i="28"/>
  <c r="K260" i="28"/>
  <c r="K261" i="28"/>
  <c r="K262" i="28"/>
  <c r="K263" i="28"/>
  <c r="K264" i="28"/>
  <c r="K265" i="28"/>
  <c r="K266" i="28"/>
  <c r="K267" i="28"/>
  <c r="K268" i="28"/>
  <c r="K269" i="28"/>
  <c r="K270" i="28"/>
  <c r="K271" i="28"/>
  <c r="K272" i="28"/>
  <c r="K273" i="28"/>
  <c r="K274" i="28"/>
  <c r="K275" i="28"/>
  <c r="K276" i="28"/>
  <c r="K277" i="28"/>
  <c r="K278" i="28"/>
  <c r="K279" i="28"/>
  <c r="K280" i="28"/>
  <c r="K281" i="28"/>
  <c r="K282" i="28"/>
  <c r="K283" i="28"/>
  <c r="K284" i="28"/>
  <c r="K285" i="28"/>
  <c r="K286" i="28"/>
  <c r="K287" i="28"/>
  <c r="K288" i="28"/>
  <c r="K289" i="28"/>
  <c r="K290" i="28"/>
  <c r="K291" i="28"/>
  <c r="K292" i="28"/>
  <c r="K293" i="28"/>
  <c r="K294" i="28"/>
  <c r="K295" i="28"/>
  <c r="K296" i="28"/>
  <c r="K297" i="28"/>
  <c r="K298" i="28"/>
  <c r="K299" i="28"/>
  <c r="K300" i="28"/>
  <c r="K301" i="28"/>
  <c r="K302" i="28"/>
  <c r="K303" i="28"/>
  <c r="K304" i="28"/>
  <c r="K305" i="28"/>
  <c r="K306" i="28"/>
  <c r="K307" i="28"/>
  <c r="K308" i="28"/>
  <c r="K309" i="28"/>
  <c r="K310" i="28"/>
  <c r="K311" i="28"/>
  <c r="K312" i="28"/>
  <c r="K313" i="28"/>
  <c r="K314" i="28"/>
  <c r="K315" i="28"/>
  <c r="K316" i="28"/>
  <c r="K317" i="28"/>
  <c r="K318" i="28"/>
  <c r="K319" i="28"/>
  <c r="K320" i="28"/>
  <c r="K321" i="28"/>
  <c r="K322" i="28"/>
  <c r="K323" i="28"/>
  <c r="K324" i="28"/>
  <c r="K325" i="28"/>
  <c r="K326" i="28"/>
  <c r="K327" i="28"/>
  <c r="K328" i="28"/>
  <c r="K329" i="28"/>
  <c r="K330" i="28"/>
  <c r="K331" i="28"/>
  <c r="K332" i="28"/>
  <c r="K333" i="28"/>
  <c r="K334" i="28"/>
  <c r="K335" i="28"/>
  <c r="K336" i="28"/>
  <c r="K337" i="28"/>
  <c r="K338" i="28"/>
  <c r="K339" i="28"/>
  <c r="K340" i="28"/>
  <c r="K341" i="28"/>
  <c r="K342" i="28"/>
  <c r="K343" i="28"/>
  <c r="K344" i="28"/>
  <c r="K345" i="28"/>
  <c r="K346" i="28"/>
  <c r="K347" i="28"/>
  <c r="K348" i="28"/>
  <c r="K349" i="28"/>
  <c r="K350" i="28"/>
  <c r="K351" i="28"/>
  <c r="K352" i="28"/>
  <c r="K353" i="28"/>
  <c r="K354" i="28"/>
  <c r="K355" i="28"/>
  <c r="K356" i="28"/>
  <c r="K357" i="28"/>
  <c r="K358" i="28"/>
  <c r="K359" i="28"/>
  <c r="K360" i="28"/>
  <c r="K361" i="28"/>
  <c r="K362" i="28"/>
  <c r="K363" i="28"/>
  <c r="K364" i="28"/>
  <c r="K365" i="28"/>
  <c r="K366" i="28"/>
  <c r="K367" i="28"/>
  <c r="K368" i="28"/>
  <c r="K369" i="28"/>
  <c r="K370" i="28"/>
  <c r="K371" i="28"/>
  <c r="K372" i="28"/>
  <c r="K373" i="28"/>
  <c r="K2" i="28"/>
  <c r="J3" i="28"/>
  <c r="J4" i="28"/>
  <c r="J6" i="28"/>
  <c r="J7" i="28"/>
  <c r="J9" i="28"/>
  <c r="J10" i="28"/>
  <c r="J12" i="28"/>
  <c r="J13" i="28"/>
  <c r="J15" i="28"/>
  <c r="J16" i="28"/>
  <c r="J18" i="28"/>
  <c r="J19" i="28"/>
  <c r="J21" i="28"/>
  <c r="J22" i="28"/>
  <c r="J24" i="28"/>
  <c r="J25" i="28"/>
  <c r="J27" i="28"/>
  <c r="J28" i="28"/>
  <c r="J30" i="28"/>
  <c r="J31" i="28"/>
  <c r="J33" i="28"/>
  <c r="J34" i="28"/>
  <c r="J36" i="28"/>
  <c r="J37" i="28"/>
  <c r="J39" i="28"/>
  <c r="J40" i="28"/>
  <c r="J42" i="28"/>
  <c r="J43" i="28"/>
  <c r="J45" i="28"/>
  <c r="J46" i="28"/>
  <c r="J48" i="28"/>
  <c r="J49" i="28"/>
  <c r="J51" i="28"/>
  <c r="J52" i="28"/>
  <c r="J54" i="28"/>
  <c r="J55" i="28"/>
  <c r="J57" i="28"/>
  <c r="J58" i="28"/>
  <c r="J60" i="28"/>
  <c r="J61" i="28"/>
  <c r="J63" i="28"/>
  <c r="J64" i="28"/>
  <c r="J66" i="28"/>
  <c r="J67" i="28"/>
  <c r="J69" i="28"/>
  <c r="J70" i="28"/>
  <c r="J72" i="28"/>
  <c r="J73" i="28"/>
  <c r="J75" i="28"/>
  <c r="J76" i="28"/>
  <c r="J78" i="28"/>
  <c r="J79" i="28"/>
  <c r="J81" i="28"/>
  <c r="J82" i="28"/>
  <c r="J84" i="28"/>
  <c r="J85" i="28"/>
  <c r="J87" i="28"/>
  <c r="J88" i="28"/>
  <c r="J90" i="28"/>
  <c r="J91" i="28"/>
  <c r="J93" i="28"/>
  <c r="J94" i="28"/>
  <c r="J96" i="28"/>
  <c r="J97" i="28"/>
  <c r="J99" i="28"/>
  <c r="J100" i="28"/>
  <c r="J102" i="28"/>
  <c r="J103" i="28"/>
  <c r="J105" i="28"/>
  <c r="J106" i="28"/>
  <c r="J108" i="28"/>
  <c r="J109" i="28"/>
  <c r="J111" i="28"/>
  <c r="J112" i="28"/>
  <c r="J114" i="28"/>
  <c r="J115" i="28"/>
  <c r="J117" i="28"/>
  <c r="J118" i="28"/>
  <c r="J120" i="28"/>
  <c r="J121" i="28"/>
  <c r="J123" i="28"/>
  <c r="J124" i="28"/>
  <c r="J126" i="28"/>
  <c r="J127" i="28"/>
  <c r="J129" i="28"/>
  <c r="J130" i="28"/>
  <c r="J132" i="28"/>
  <c r="J133" i="28"/>
  <c r="J135" i="28"/>
  <c r="J136" i="28"/>
  <c r="J138" i="28"/>
  <c r="J139" i="28"/>
  <c r="J141" i="28"/>
  <c r="J142" i="28"/>
  <c r="J144" i="28"/>
  <c r="J145" i="28"/>
  <c r="J147" i="28"/>
  <c r="J148" i="28"/>
  <c r="J150" i="28"/>
  <c r="J151" i="28"/>
  <c r="J153" i="28"/>
  <c r="J154" i="28"/>
  <c r="J156" i="28"/>
  <c r="J157" i="28"/>
  <c r="J159" i="28"/>
  <c r="J160" i="28"/>
  <c r="J162" i="28"/>
  <c r="J163" i="28"/>
  <c r="J165" i="28"/>
  <c r="J166" i="28"/>
  <c r="J168" i="28"/>
  <c r="J169" i="28"/>
  <c r="J171" i="28"/>
  <c r="J172" i="28"/>
  <c r="J174" i="28"/>
  <c r="J175" i="28"/>
  <c r="J177" i="28"/>
  <c r="J178" i="28"/>
  <c r="J180" i="28"/>
  <c r="J181" i="28"/>
  <c r="J183" i="28"/>
  <c r="J184" i="28"/>
  <c r="J186" i="28"/>
  <c r="J187" i="28"/>
  <c r="J189" i="28"/>
  <c r="J190" i="28"/>
  <c r="J192" i="28"/>
  <c r="J193" i="28"/>
  <c r="J195" i="28"/>
  <c r="J196" i="28"/>
  <c r="J198" i="28"/>
  <c r="J199" i="28"/>
  <c r="J201" i="28"/>
  <c r="J202" i="28"/>
  <c r="J204" i="28"/>
  <c r="J205" i="28"/>
  <c r="J207" i="28"/>
  <c r="J208" i="28"/>
  <c r="J210" i="28"/>
  <c r="J211" i="28"/>
  <c r="J213" i="28"/>
  <c r="J214" i="28"/>
  <c r="J216" i="28"/>
  <c r="J217" i="28"/>
  <c r="J219" i="28"/>
  <c r="J220" i="28"/>
  <c r="J222" i="28"/>
  <c r="J223" i="28"/>
  <c r="J225" i="28"/>
  <c r="J226" i="28"/>
  <c r="J228" i="28"/>
  <c r="J229" i="28"/>
  <c r="J231" i="28"/>
  <c r="J232" i="28"/>
  <c r="J234" i="28"/>
  <c r="J235" i="28"/>
  <c r="J237" i="28"/>
  <c r="J238" i="28"/>
  <c r="J240" i="28"/>
  <c r="J241" i="28"/>
  <c r="J243" i="28"/>
  <c r="J244" i="28"/>
  <c r="J246" i="28"/>
  <c r="J247" i="28"/>
  <c r="J249" i="28"/>
  <c r="J250" i="28"/>
  <c r="J252" i="28"/>
  <c r="J253" i="28"/>
  <c r="J255" i="28"/>
  <c r="J256" i="28"/>
  <c r="J258" i="28"/>
  <c r="J259" i="28"/>
  <c r="J261" i="28"/>
  <c r="J262" i="28"/>
  <c r="J263" i="28"/>
  <c r="J264" i="28"/>
  <c r="J265" i="28"/>
  <c r="J267" i="28"/>
  <c r="J268" i="28"/>
  <c r="J270" i="28"/>
  <c r="J271" i="28"/>
  <c r="J273" i="28"/>
  <c r="J274" i="28"/>
  <c r="J276" i="28"/>
  <c r="J277" i="28"/>
  <c r="J279" i="28"/>
  <c r="J280" i="28"/>
  <c r="J282" i="28"/>
  <c r="J283" i="28"/>
  <c r="J285" i="28"/>
  <c r="J286" i="28"/>
  <c r="J288" i="28"/>
  <c r="J289" i="28"/>
  <c r="J291" i="28"/>
  <c r="J292" i="28"/>
  <c r="J294" i="28"/>
  <c r="J295" i="28"/>
  <c r="J297" i="28"/>
  <c r="J298" i="28"/>
  <c r="J300" i="28"/>
  <c r="J301" i="28"/>
  <c r="J303" i="28"/>
  <c r="J304" i="28"/>
  <c r="J306" i="28"/>
  <c r="J307" i="28"/>
  <c r="J309" i="28"/>
  <c r="J310" i="28"/>
  <c r="J312" i="28"/>
  <c r="J313" i="28"/>
  <c r="J315" i="28"/>
  <c r="J316" i="28"/>
  <c r="J318" i="28"/>
  <c r="J319" i="28"/>
  <c r="J321" i="28"/>
  <c r="J322" i="28"/>
  <c r="J324" i="28"/>
  <c r="J325" i="28"/>
  <c r="J327" i="28"/>
  <c r="J328" i="28"/>
  <c r="J330" i="28"/>
  <c r="J331" i="28"/>
  <c r="J333" i="28"/>
  <c r="J334" i="28"/>
  <c r="J336" i="28"/>
  <c r="J337" i="28"/>
  <c r="J339" i="28"/>
  <c r="J340" i="28"/>
  <c r="J342" i="28"/>
  <c r="J343" i="28"/>
  <c r="J345" i="28"/>
  <c r="J346" i="28"/>
  <c r="J348" i="28"/>
  <c r="J349" i="28"/>
  <c r="J351" i="28"/>
  <c r="J352" i="28"/>
  <c r="J354" i="28"/>
  <c r="J355" i="28"/>
  <c r="J357" i="28"/>
  <c r="J358" i="28"/>
  <c r="J360" i="28"/>
  <c r="J361" i="28"/>
  <c r="J363" i="28"/>
  <c r="J364" i="28"/>
  <c r="J366" i="28"/>
  <c r="J367" i="28"/>
  <c r="J369" i="28"/>
  <c r="J370" i="28"/>
  <c r="J372" i="28"/>
  <c r="J373" i="28"/>
  <c r="I3" i="28"/>
  <c r="I4" i="28"/>
  <c r="I5" i="28"/>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2" i="28"/>
  <c r="I93" i="28"/>
  <c r="I94" i="28"/>
  <c r="I95" i="28"/>
  <c r="I96" i="28"/>
  <c r="I97" i="28"/>
  <c r="I98" i="28"/>
  <c r="I99" i="28"/>
  <c r="I100" i="28"/>
  <c r="I101" i="28"/>
  <c r="I102" i="28"/>
  <c r="I103" i="28"/>
  <c r="I104" i="28"/>
  <c r="I105" i="28"/>
  <c r="I106" i="28"/>
  <c r="I107" i="28"/>
  <c r="I108" i="28"/>
  <c r="I109" i="28"/>
  <c r="I110" i="28"/>
  <c r="I111" i="28"/>
  <c r="I112" i="28"/>
  <c r="I113" i="28"/>
  <c r="I114" i="28"/>
  <c r="I115" i="28"/>
  <c r="I116" i="28"/>
  <c r="I117" i="28"/>
  <c r="I118" i="28"/>
  <c r="I119" i="28"/>
  <c r="I120" i="28"/>
  <c r="I121" i="28"/>
  <c r="I122" i="28"/>
  <c r="I123" i="28"/>
  <c r="I124" i="28"/>
  <c r="I125" i="28"/>
  <c r="I126" i="28"/>
  <c r="I127" i="28"/>
  <c r="I128" i="28"/>
  <c r="I129" i="28"/>
  <c r="I130" i="28"/>
  <c r="I131" i="28"/>
  <c r="I132" i="28"/>
  <c r="I133" i="28"/>
  <c r="I134" i="28"/>
  <c r="I135" i="28"/>
  <c r="I136" i="28"/>
  <c r="I137" i="28"/>
  <c r="I138" i="28"/>
  <c r="I139" i="28"/>
  <c r="I140" i="28"/>
  <c r="I141" i="28"/>
  <c r="I142" i="28"/>
  <c r="I143" i="28"/>
  <c r="I144" i="28"/>
  <c r="I145" i="28"/>
  <c r="I146" i="28"/>
  <c r="I147" i="28"/>
  <c r="I148" i="28"/>
  <c r="I149" i="28"/>
  <c r="I150" i="28"/>
  <c r="I151" i="28"/>
  <c r="I152" i="28"/>
  <c r="I153" i="28"/>
  <c r="I154" i="28"/>
  <c r="I155" i="28"/>
  <c r="I156" i="28"/>
  <c r="I157" i="28"/>
  <c r="I158" i="28"/>
  <c r="I159" i="28"/>
  <c r="I160" i="28"/>
  <c r="I161" i="28"/>
  <c r="I162" i="28"/>
  <c r="I163" i="28"/>
  <c r="I164" i="28"/>
  <c r="I165" i="28"/>
  <c r="I166" i="28"/>
  <c r="I167" i="28"/>
  <c r="I168" i="28"/>
  <c r="I169" i="28"/>
  <c r="I170" i="28"/>
  <c r="I171" i="28"/>
  <c r="I172" i="28"/>
  <c r="I173" i="28"/>
  <c r="I174" i="28"/>
  <c r="I175" i="28"/>
  <c r="I176" i="28"/>
  <c r="I177" i="28"/>
  <c r="I178" i="28"/>
  <c r="I179" i="28"/>
  <c r="I180" i="28"/>
  <c r="I181" i="28"/>
  <c r="I182" i="28"/>
  <c r="I183" i="28"/>
  <c r="I184" i="28"/>
  <c r="I185" i="28"/>
  <c r="I186" i="28"/>
  <c r="I187" i="28"/>
  <c r="I188" i="28"/>
  <c r="I189" i="28"/>
  <c r="I190" i="28"/>
  <c r="I191" i="28"/>
  <c r="I192" i="28"/>
  <c r="I193" i="28"/>
  <c r="I194" i="28"/>
  <c r="I195" i="28"/>
  <c r="I196" i="28"/>
  <c r="I197" i="28"/>
  <c r="I198" i="28"/>
  <c r="I199" i="28"/>
  <c r="I200" i="28"/>
  <c r="I201" i="28"/>
  <c r="I202" i="28"/>
  <c r="I203" i="28"/>
  <c r="I204" i="28"/>
  <c r="I205" i="28"/>
  <c r="I206" i="28"/>
  <c r="I207" i="28"/>
  <c r="I208" i="28"/>
  <c r="I209" i="28"/>
  <c r="I210" i="28"/>
  <c r="I211" i="28"/>
  <c r="I212" i="28"/>
  <c r="I213" i="28"/>
  <c r="I214" i="28"/>
  <c r="I215" i="28"/>
  <c r="I216" i="28"/>
  <c r="I217" i="28"/>
  <c r="I218" i="28"/>
  <c r="I219" i="28"/>
  <c r="I220"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I244" i="28"/>
  <c r="I245" i="28"/>
  <c r="I246" i="28"/>
  <c r="I247" i="28"/>
  <c r="I248" i="28"/>
  <c r="I249" i="28"/>
  <c r="I250" i="28"/>
  <c r="I251" i="28"/>
  <c r="I252" i="28"/>
  <c r="I253" i="28"/>
  <c r="I254" i="28"/>
  <c r="I255" i="28"/>
  <c r="I256" i="28"/>
  <c r="I257" i="28"/>
  <c r="I258" i="28"/>
  <c r="I259" i="28"/>
  <c r="I260" i="28"/>
  <c r="I261" i="28"/>
  <c r="I262" i="28"/>
  <c r="I263" i="28"/>
  <c r="I264" i="28"/>
  <c r="I265" i="28"/>
  <c r="I266" i="28"/>
  <c r="I267" i="28"/>
  <c r="I268" i="28"/>
  <c r="I269" i="28"/>
  <c r="I270" i="28"/>
  <c r="I271" i="28"/>
  <c r="I272" i="28"/>
  <c r="I273" i="28"/>
  <c r="I274" i="28"/>
  <c r="I275" i="28"/>
  <c r="I276" i="28"/>
  <c r="I277" i="28"/>
  <c r="I278" i="28"/>
  <c r="I279" i="28"/>
  <c r="I280" i="28"/>
  <c r="I281" i="28"/>
  <c r="I282" i="28"/>
  <c r="I283" i="28"/>
  <c r="I284" i="28"/>
  <c r="I285" i="28"/>
  <c r="I286" i="28"/>
  <c r="I287" i="28"/>
  <c r="I288" i="28"/>
  <c r="I289" i="28"/>
  <c r="I290" i="28"/>
  <c r="I291" i="28"/>
  <c r="I292" i="28"/>
  <c r="I293" i="28"/>
  <c r="I294" i="28"/>
  <c r="I295" i="28"/>
  <c r="I296" i="28"/>
  <c r="I297" i="28"/>
  <c r="I298" i="28"/>
  <c r="I299" i="28"/>
  <c r="I300" i="28"/>
  <c r="I301" i="28"/>
  <c r="I302" i="28"/>
  <c r="I303" i="28"/>
  <c r="I304" i="28"/>
  <c r="I305" i="28"/>
  <c r="I306" i="28"/>
  <c r="I307" i="28"/>
  <c r="I308" i="28"/>
  <c r="I309" i="28"/>
  <c r="I310" i="28"/>
  <c r="I311" i="28"/>
  <c r="I312" i="28"/>
  <c r="I313" i="28"/>
  <c r="I314" i="28"/>
  <c r="I315" i="28"/>
  <c r="I316" i="28"/>
  <c r="I317" i="28"/>
  <c r="I318" i="28"/>
  <c r="I319" i="28"/>
  <c r="I320" i="28"/>
  <c r="I321" i="28"/>
  <c r="I322" i="28"/>
  <c r="I323" i="28"/>
  <c r="I324" i="28"/>
  <c r="I325" i="28"/>
  <c r="I326" i="28"/>
  <c r="I327" i="28"/>
  <c r="I328" i="28"/>
  <c r="I329" i="28"/>
  <c r="I330" i="28"/>
  <c r="I331" i="28"/>
  <c r="I332" i="28"/>
  <c r="I333" i="28"/>
  <c r="I334" i="28"/>
  <c r="I335" i="28"/>
  <c r="I336" i="28"/>
  <c r="I337" i="28"/>
  <c r="I338" i="28"/>
  <c r="I339" i="28"/>
  <c r="I340" i="28"/>
  <c r="I341" i="28"/>
  <c r="I342" i="28"/>
  <c r="I343" i="28"/>
  <c r="I344" i="28"/>
  <c r="I345" i="28"/>
  <c r="I346" i="28"/>
  <c r="I347" i="28"/>
  <c r="I348" i="28"/>
  <c r="I349" i="28"/>
  <c r="I350" i="28"/>
  <c r="I351" i="28"/>
  <c r="I352" i="28"/>
  <c r="I353" i="28"/>
  <c r="I354" i="28"/>
  <c r="I355" i="28"/>
  <c r="I356" i="28"/>
  <c r="I357" i="28"/>
  <c r="I358" i="28"/>
  <c r="I359" i="28"/>
  <c r="I360" i="28"/>
  <c r="I361" i="28"/>
  <c r="I362" i="28"/>
  <c r="I363" i="28"/>
  <c r="I364" i="28"/>
  <c r="I365" i="28"/>
  <c r="I366" i="28"/>
  <c r="I367" i="28"/>
  <c r="I368" i="28"/>
  <c r="I369" i="28"/>
  <c r="I370" i="28"/>
  <c r="I371" i="28"/>
  <c r="I372" i="28"/>
  <c r="I373" i="28"/>
  <c r="I2" i="28"/>
  <c r="H3" i="28"/>
  <c r="H4" i="28"/>
  <c r="H5" i="28"/>
  <c r="H6" i="28"/>
  <c r="H7" i="28"/>
  <c r="H8" i="28"/>
  <c r="H9" i="28"/>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H95" i="28"/>
  <c r="H96" i="28"/>
  <c r="H97" i="28"/>
  <c r="H98" i="28"/>
  <c r="H99" i="28"/>
  <c r="H100" i="28"/>
  <c r="H101" i="28"/>
  <c r="H102" i="28"/>
  <c r="H103" i="28"/>
  <c r="H104" i="28"/>
  <c r="H105" i="28"/>
  <c r="H106" i="28"/>
  <c r="H107" i="28"/>
  <c r="H108" i="28"/>
  <c r="H109" i="28"/>
  <c r="H110" i="28"/>
  <c r="H111" i="28"/>
  <c r="H112" i="28"/>
  <c r="H113" i="28"/>
  <c r="H114" i="28"/>
  <c r="H115" i="28"/>
  <c r="H116" i="28"/>
  <c r="H117" i="28"/>
  <c r="H118" i="28"/>
  <c r="H119" i="28"/>
  <c r="H120" i="28"/>
  <c r="H121" i="28"/>
  <c r="H122" i="28"/>
  <c r="H123" i="28"/>
  <c r="H124" i="28"/>
  <c r="H125" i="28"/>
  <c r="H126" i="28"/>
  <c r="H127" i="28"/>
  <c r="H128" i="28"/>
  <c r="H129" i="28"/>
  <c r="H130" i="28"/>
  <c r="H131" i="28"/>
  <c r="H132" i="28"/>
  <c r="H133" i="28"/>
  <c r="H134" i="28"/>
  <c r="H135" i="28"/>
  <c r="H136" i="28"/>
  <c r="H137" i="28"/>
  <c r="H138" i="28"/>
  <c r="H139" i="28"/>
  <c r="H140" i="28"/>
  <c r="H141" i="28"/>
  <c r="H142" i="28"/>
  <c r="H143" i="28"/>
  <c r="H144" i="28"/>
  <c r="H145" i="28"/>
  <c r="H146" i="28"/>
  <c r="H147" i="28"/>
  <c r="H148" i="28"/>
  <c r="H149" i="28"/>
  <c r="H150" i="28"/>
  <c r="H151" i="28"/>
  <c r="H152" i="28"/>
  <c r="H153" i="28"/>
  <c r="H154" i="28"/>
  <c r="H155" i="28"/>
  <c r="H156" i="28"/>
  <c r="H157" i="28"/>
  <c r="H158" i="28"/>
  <c r="H159" i="28"/>
  <c r="H160" i="28"/>
  <c r="H161" i="28"/>
  <c r="H162" i="28"/>
  <c r="H163" i="28"/>
  <c r="H164" i="28"/>
  <c r="H165" i="28"/>
  <c r="H166" i="28"/>
  <c r="H167" i="28"/>
  <c r="H168" i="28"/>
  <c r="H169" i="28"/>
  <c r="H170" i="28"/>
  <c r="H171" i="28"/>
  <c r="H172" i="28"/>
  <c r="H173" i="28"/>
  <c r="H174" i="28"/>
  <c r="H175" i="28"/>
  <c r="H176" i="28"/>
  <c r="H177" i="28"/>
  <c r="H178" i="28"/>
  <c r="H179" i="28"/>
  <c r="H180" i="28"/>
  <c r="H181" i="28"/>
  <c r="H182" i="28"/>
  <c r="H183" i="28"/>
  <c r="H184" i="28"/>
  <c r="H185" i="28"/>
  <c r="H186" i="28"/>
  <c r="H187" i="28"/>
  <c r="H188" i="28"/>
  <c r="H189" i="28"/>
  <c r="H190" i="28"/>
  <c r="H191" i="28"/>
  <c r="H192" i="28"/>
  <c r="H193" i="28"/>
  <c r="H194" i="28"/>
  <c r="H195" i="28"/>
  <c r="H196" i="28"/>
  <c r="H197" i="28"/>
  <c r="H198" i="28"/>
  <c r="H199" i="28"/>
  <c r="H200" i="28"/>
  <c r="H201" i="28"/>
  <c r="H202" i="28"/>
  <c r="H203" i="28"/>
  <c r="H204" i="28"/>
  <c r="H205" i="28"/>
  <c r="H206" i="28"/>
  <c r="H207" i="28"/>
  <c r="H208" i="28"/>
  <c r="H209" i="28"/>
  <c r="H210" i="28"/>
  <c r="H211" i="28"/>
  <c r="H212" i="28"/>
  <c r="H213" i="28"/>
  <c r="H214" i="28"/>
  <c r="H215" i="28"/>
  <c r="H216" i="28"/>
  <c r="H217" i="28"/>
  <c r="H218" i="28"/>
  <c r="H219" i="28"/>
  <c r="H220" i="28"/>
  <c r="H221" i="28"/>
  <c r="H222" i="28"/>
  <c r="H223" i="28"/>
  <c r="H224" i="28"/>
  <c r="H225" i="28"/>
  <c r="H226" i="28"/>
  <c r="H227" i="28"/>
  <c r="H228" i="28"/>
  <c r="H229" i="28"/>
  <c r="H230" i="28"/>
  <c r="H231" i="28"/>
  <c r="H232" i="28"/>
  <c r="H233" i="28"/>
  <c r="H234" i="28"/>
  <c r="H235" i="28"/>
  <c r="H236" i="28"/>
  <c r="H237" i="28"/>
  <c r="H238" i="28"/>
  <c r="H239" i="28"/>
  <c r="H240" i="28"/>
  <c r="H241" i="28"/>
  <c r="H242" i="28"/>
  <c r="H243" i="28"/>
  <c r="H244" i="28"/>
  <c r="H245" i="28"/>
  <c r="H246" i="28"/>
  <c r="H247" i="28"/>
  <c r="H248" i="28"/>
  <c r="H249" i="28"/>
  <c r="H250" i="28"/>
  <c r="H251" i="28"/>
  <c r="H252" i="28"/>
  <c r="H253" i="28"/>
  <c r="H254" i="28"/>
  <c r="H255" i="28"/>
  <c r="H256" i="28"/>
  <c r="H257" i="28"/>
  <c r="H258" i="28"/>
  <c r="H259" i="28"/>
  <c r="H260" i="28"/>
  <c r="H261" i="28"/>
  <c r="H262" i="28"/>
  <c r="H263" i="28"/>
  <c r="H264" i="28"/>
  <c r="H265" i="28"/>
  <c r="H266" i="28"/>
  <c r="H267" i="28"/>
  <c r="H268" i="28"/>
  <c r="H269" i="28"/>
  <c r="H270" i="28"/>
  <c r="H271" i="28"/>
  <c r="H272" i="28"/>
  <c r="H273" i="28"/>
  <c r="H274" i="28"/>
  <c r="H275" i="28"/>
  <c r="H276" i="28"/>
  <c r="H277" i="28"/>
  <c r="H278" i="28"/>
  <c r="H279" i="28"/>
  <c r="H280" i="28"/>
  <c r="H281" i="28"/>
  <c r="H282" i="28"/>
  <c r="H283" i="28"/>
  <c r="H284" i="28"/>
  <c r="H285" i="28"/>
  <c r="H286" i="28"/>
  <c r="H287" i="28"/>
  <c r="H288" i="28"/>
  <c r="H289" i="28"/>
  <c r="H290" i="28"/>
  <c r="H291" i="28"/>
  <c r="H292" i="28"/>
  <c r="H293" i="28"/>
  <c r="H294" i="28"/>
  <c r="H295" i="28"/>
  <c r="H296" i="28"/>
  <c r="H297" i="28"/>
  <c r="H298" i="28"/>
  <c r="H299" i="28"/>
  <c r="H300" i="28"/>
  <c r="H301" i="28"/>
  <c r="H302" i="28"/>
  <c r="H303" i="28"/>
  <c r="H304" i="28"/>
  <c r="H305" i="28"/>
  <c r="H306" i="28"/>
  <c r="H307" i="28"/>
  <c r="H308" i="28"/>
  <c r="H309" i="28"/>
  <c r="H310" i="28"/>
  <c r="H311" i="28"/>
  <c r="H312" i="28"/>
  <c r="H313" i="28"/>
  <c r="H314" i="28"/>
  <c r="H315" i="28"/>
  <c r="H316" i="28"/>
  <c r="H317" i="28"/>
  <c r="H318" i="28"/>
  <c r="H319" i="28"/>
  <c r="H320" i="28"/>
  <c r="H321" i="28"/>
  <c r="H322" i="28"/>
  <c r="H323" i="28"/>
  <c r="H324" i="28"/>
  <c r="H325" i="28"/>
  <c r="H326" i="28"/>
  <c r="H327" i="28"/>
  <c r="H328" i="28"/>
  <c r="H329" i="28"/>
  <c r="H330" i="28"/>
  <c r="H331" i="28"/>
  <c r="H332" i="28"/>
  <c r="H333" i="28"/>
  <c r="H334" i="28"/>
  <c r="H335" i="28"/>
  <c r="H336" i="28"/>
  <c r="H337" i="28"/>
  <c r="H338" i="28"/>
  <c r="H339" i="28"/>
  <c r="H340" i="28"/>
  <c r="H341" i="28"/>
  <c r="H342" i="28"/>
  <c r="H343" i="28"/>
  <c r="H344" i="28"/>
  <c r="H345" i="28"/>
  <c r="H346" i="28"/>
  <c r="H347" i="28"/>
  <c r="H348" i="28"/>
  <c r="H349" i="28"/>
  <c r="H350" i="28"/>
  <c r="H351" i="28"/>
  <c r="H352" i="28"/>
  <c r="H353" i="28"/>
  <c r="H354" i="28"/>
  <c r="H355" i="28"/>
  <c r="H356" i="28"/>
  <c r="H357" i="28"/>
  <c r="H358" i="28"/>
  <c r="H359" i="28"/>
  <c r="H360" i="28"/>
  <c r="H361" i="28"/>
  <c r="H362" i="28"/>
  <c r="H363" i="28"/>
  <c r="H364" i="28"/>
  <c r="H365" i="28"/>
  <c r="H366" i="28"/>
  <c r="H367" i="28"/>
  <c r="H368" i="28"/>
  <c r="H369" i="28"/>
  <c r="H370" i="28"/>
  <c r="H371" i="28"/>
  <c r="H372" i="28"/>
  <c r="H373" i="28"/>
  <c r="H2"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75" i="28"/>
  <c r="G76" i="28"/>
  <c r="G77" i="28"/>
  <c r="G78" i="28"/>
  <c r="G79" i="28"/>
  <c r="G81" i="28"/>
  <c r="G82" i="28"/>
  <c r="G84" i="28"/>
  <c r="G85" i="28"/>
  <c r="G86" i="28"/>
  <c r="G87" i="28"/>
  <c r="G88" i="28"/>
  <c r="G89" i="28"/>
  <c r="G90" i="28"/>
  <c r="G91" i="28"/>
  <c r="G92" i="28"/>
  <c r="G93" i="28"/>
  <c r="G94" i="28"/>
  <c r="G95" i="28"/>
  <c r="G96" i="28"/>
  <c r="G97" i="28"/>
  <c r="G98" i="28"/>
  <c r="G99" i="28"/>
  <c r="G100" i="28"/>
  <c r="G101" i="28"/>
  <c r="G102" i="28"/>
  <c r="G103" i="28"/>
  <c r="G104" i="28"/>
  <c r="G105" i="28"/>
  <c r="G106" i="28"/>
  <c r="G107" i="28"/>
  <c r="G108" i="28"/>
  <c r="G109" i="28"/>
  <c r="G110" i="28"/>
  <c r="G111" i="28"/>
  <c r="G112" i="28"/>
  <c r="G113" i="28"/>
  <c r="G114" i="28"/>
  <c r="G115" i="28"/>
  <c r="G116" i="28"/>
  <c r="G117" i="28"/>
  <c r="G118" i="28"/>
  <c r="G119" i="28"/>
  <c r="G120" i="28"/>
  <c r="G121" i="28"/>
  <c r="G122" i="28"/>
  <c r="G123" i="28"/>
  <c r="G124" i="28"/>
  <c r="G125" i="28"/>
  <c r="G126" i="28"/>
  <c r="G127" i="28"/>
  <c r="G128" i="28"/>
  <c r="G129" i="28"/>
  <c r="G130" i="28"/>
  <c r="G131" i="28"/>
  <c r="G132" i="28"/>
  <c r="G133" i="28"/>
  <c r="G134" i="28"/>
  <c r="G135" i="28"/>
  <c r="G136" i="28"/>
  <c r="G137" i="28"/>
  <c r="G138" i="28"/>
  <c r="G139" i="28"/>
  <c r="G140" i="28"/>
  <c r="G141" i="28"/>
  <c r="G142" i="28"/>
  <c r="G143" i="28"/>
  <c r="G144" i="28"/>
  <c r="G145" i="28"/>
  <c r="G146" i="28"/>
  <c r="G147" i="28"/>
  <c r="G148" i="28"/>
  <c r="G149" i="28"/>
  <c r="G150" i="28"/>
  <c r="G151" i="28"/>
  <c r="G152" i="28"/>
  <c r="G153" i="28"/>
  <c r="G154" i="28"/>
  <c r="G155" i="28"/>
  <c r="G156" i="28"/>
  <c r="G157" i="28"/>
  <c r="G158" i="28"/>
  <c r="G159" i="28"/>
  <c r="G160" i="28"/>
  <c r="G161" i="28"/>
  <c r="G162" i="28"/>
  <c r="G163" i="28"/>
  <c r="G164" i="28"/>
  <c r="G165" i="28"/>
  <c r="G166" i="28"/>
  <c r="G167" i="28"/>
  <c r="G168" i="28"/>
  <c r="G169" i="28"/>
  <c r="G170" i="28"/>
  <c r="G171" i="28"/>
  <c r="G172" i="28"/>
  <c r="G173" i="28"/>
  <c r="G174" i="28"/>
  <c r="G175" i="28"/>
  <c r="G176" i="28"/>
  <c r="G177" i="28"/>
  <c r="G178" i="28"/>
  <c r="G179" i="28"/>
  <c r="G180" i="28"/>
  <c r="G181" i="28"/>
  <c r="G182" i="28"/>
  <c r="G183" i="28"/>
  <c r="G184" i="28"/>
  <c r="G185" i="28"/>
  <c r="G186" i="28"/>
  <c r="G187" i="28"/>
  <c r="G188" i="28"/>
  <c r="G189" i="28"/>
  <c r="G190" i="28"/>
  <c r="G191" i="28"/>
  <c r="G192" i="28"/>
  <c r="G193" i="28"/>
  <c r="G194" i="28"/>
  <c r="G195" i="28"/>
  <c r="G196" i="28"/>
  <c r="G197" i="28"/>
  <c r="G198" i="28"/>
  <c r="G199" i="28"/>
  <c r="G200" i="28"/>
  <c r="G201" i="28"/>
  <c r="G202" i="28"/>
  <c r="G203" i="28"/>
  <c r="G204" i="28"/>
  <c r="G205" i="28"/>
  <c r="G206" i="28"/>
  <c r="G207" i="28"/>
  <c r="G208" i="28"/>
  <c r="G209" i="28"/>
  <c r="G210" i="28"/>
  <c r="G211" i="28"/>
  <c r="G212" i="28"/>
  <c r="G213" i="28"/>
  <c r="G214" i="28"/>
  <c r="G215" i="28"/>
  <c r="G216" i="28"/>
  <c r="G217" i="28"/>
  <c r="G218" i="28"/>
  <c r="G219" i="28"/>
  <c r="G220" i="28"/>
  <c r="G221" i="28"/>
  <c r="G222" i="28"/>
  <c r="G223" i="28"/>
  <c r="G224" i="28"/>
  <c r="G225" i="28"/>
  <c r="G226" i="28"/>
  <c r="G227" i="28"/>
  <c r="G228" i="28"/>
  <c r="G229" i="28"/>
  <c r="G230" i="28"/>
  <c r="G231" i="28"/>
  <c r="G232" i="28"/>
  <c r="G233" i="28"/>
  <c r="G234" i="28"/>
  <c r="G235" i="28"/>
  <c r="G236" i="28"/>
  <c r="G237" i="28"/>
  <c r="G238" i="28"/>
  <c r="G239" i="28"/>
  <c r="G240" i="28"/>
  <c r="G241" i="28"/>
  <c r="G242" i="28"/>
  <c r="G243" i="28"/>
  <c r="G244" i="28"/>
  <c r="G245" i="28"/>
  <c r="G246" i="28"/>
  <c r="G247" i="28"/>
  <c r="G248" i="28"/>
  <c r="G249" i="28"/>
  <c r="G250" i="28"/>
  <c r="G251" i="28"/>
  <c r="G252" i="28"/>
  <c r="G253" i="28"/>
  <c r="G254" i="28"/>
  <c r="G255" i="28"/>
  <c r="G256" i="28"/>
  <c r="G257" i="28"/>
  <c r="G258" i="28"/>
  <c r="G259" i="28"/>
  <c r="G260" i="28"/>
  <c r="G261" i="28"/>
  <c r="G262" i="28"/>
  <c r="G263" i="28"/>
  <c r="G264" i="28"/>
  <c r="G265" i="28"/>
  <c r="G266" i="28"/>
  <c r="G267" i="28"/>
  <c r="G268" i="28"/>
  <c r="G269" i="28"/>
  <c r="G270" i="28"/>
  <c r="G271" i="28"/>
  <c r="G272" i="28"/>
  <c r="G273" i="28"/>
  <c r="G274" i="28"/>
  <c r="G275" i="28"/>
  <c r="G276" i="28"/>
  <c r="G277" i="28"/>
  <c r="G278" i="28"/>
  <c r="G279" i="28"/>
  <c r="G280" i="28"/>
  <c r="G281" i="28"/>
  <c r="G282" i="28"/>
  <c r="G283" i="28"/>
  <c r="G284" i="28"/>
  <c r="G285" i="28"/>
  <c r="G286" i="28"/>
  <c r="G287" i="28"/>
  <c r="G288" i="28"/>
  <c r="G289" i="28"/>
  <c r="G290" i="28"/>
  <c r="G291" i="28"/>
  <c r="G292" i="28"/>
  <c r="G293" i="28"/>
  <c r="G294" i="28"/>
  <c r="G295" i="28"/>
  <c r="G296" i="28"/>
  <c r="G297" i="28"/>
  <c r="G298" i="28"/>
  <c r="G299" i="28"/>
  <c r="G300" i="28"/>
  <c r="G301" i="28"/>
  <c r="G302" i="28"/>
  <c r="G303" i="28"/>
  <c r="G304" i="28"/>
  <c r="G305" i="28"/>
  <c r="G306" i="28"/>
  <c r="G307" i="28"/>
  <c r="G308" i="28"/>
  <c r="G309" i="28"/>
  <c r="G310" i="28"/>
  <c r="G311" i="28"/>
  <c r="G312" i="28"/>
  <c r="G313" i="28"/>
  <c r="G314" i="28"/>
  <c r="G315" i="28"/>
  <c r="G316" i="28"/>
  <c r="G317" i="28"/>
  <c r="G318" i="28"/>
  <c r="G319" i="28"/>
  <c r="G320" i="28"/>
  <c r="G321" i="28"/>
  <c r="G322" i="28"/>
  <c r="G323" i="28"/>
  <c r="G324" i="28"/>
  <c r="G325" i="28"/>
  <c r="G326" i="28"/>
  <c r="G327" i="28"/>
  <c r="G328" i="28"/>
  <c r="G329" i="28"/>
  <c r="G330" i="28"/>
  <c r="G331" i="28"/>
  <c r="G332" i="28"/>
  <c r="G333" i="28"/>
  <c r="G334" i="28"/>
  <c r="G335" i="28"/>
  <c r="G336" i="28"/>
  <c r="G337" i="28"/>
  <c r="G338" i="28"/>
  <c r="G339" i="28"/>
  <c r="G340" i="28"/>
  <c r="G341" i="28"/>
  <c r="G342" i="28"/>
  <c r="G343" i="28"/>
  <c r="G344" i="28"/>
  <c r="G345" i="28"/>
  <c r="G346" i="28"/>
  <c r="G347" i="28"/>
  <c r="G348" i="28"/>
  <c r="G349" i="28"/>
  <c r="G350" i="28"/>
  <c r="G351" i="28"/>
  <c r="G352" i="28"/>
  <c r="G353" i="28"/>
  <c r="G354" i="28"/>
  <c r="G355" i="28"/>
  <c r="G356" i="28"/>
  <c r="G357" i="28"/>
  <c r="G358" i="28"/>
  <c r="G359" i="28"/>
  <c r="G360" i="28"/>
  <c r="G361" i="28"/>
  <c r="G362" i="28"/>
  <c r="G363" i="28"/>
  <c r="G364" i="28"/>
  <c r="G365" i="28"/>
  <c r="G366" i="28"/>
  <c r="G367" i="28"/>
  <c r="G368" i="28"/>
  <c r="G369" i="28"/>
  <c r="G370" i="28"/>
  <c r="G371" i="28"/>
  <c r="G372" i="28"/>
  <c r="G373" i="28"/>
  <c r="G4" i="28"/>
  <c r="G5" i="28"/>
  <c r="G6" i="28"/>
  <c r="G7" i="28"/>
  <c r="G8" i="28"/>
  <c r="G9" i="28"/>
  <c r="G10" i="28"/>
  <c r="G11" i="28"/>
  <c r="G12" i="28"/>
  <c r="G13" i="28"/>
  <c r="L6" i="14"/>
  <c r="L5" i="14"/>
  <c r="L4" i="14"/>
  <c r="L14" i="25"/>
  <c r="G14" i="25"/>
  <c r="E36" i="17"/>
  <c r="B14" i="25"/>
  <c r="C8" i="25" s="1"/>
  <c r="D98" i="22"/>
  <c r="AE261" i="1"/>
  <c r="AE264" i="1" s="1"/>
  <c r="E9" i="19"/>
  <c r="K12" i="20"/>
  <c r="K9" i="20"/>
  <c r="K11" i="20"/>
  <c r="K10" i="20"/>
  <c r="K8" i="20"/>
  <c r="K7" i="20"/>
  <c r="P37" i="20"/>
  <c r="P33" i="20"/>
  <c r="P34" i="20"/>
  <c r="P35" i="20"/>
  <c r="P36" i="20"/>
  <c r="P32" i="20"/>
  <c r="K33" i="20"/>
  <c r="K34" i="20"/>
  <c r="K35" i="20"/>
  <c r="K36" i="20"/>
  <c r="K37" i="20"/>
  <c r="K32" i="20"/>
  <c r="F33" i="20"/>
  <c r="F34" i="20"/>
  <c r="F35" i="20"/>
  <c r="F36" i="20"/>
  <c r="F37" i="20"/>
  <c r="F32" i="20"/>
  <c r="P21" i="20"/>
  <c r="P22" i="20"/>
  <c r="P23" i="20"/>
  <c r="P24" i="20"/>
  <c r="P25" i="20"/>
  <c r="P20" i="20"/>
  <c r="K21" i="20"/>
  <c r="K22" i="20"/>
  <c r="K23" i="20"/>
  <c r="K24" i="20"/>
  <c r="K25" i="20"/>
  <c r="K20" i="20"/>
  <c r="F21" i="20"/>
  <c r="F22" i="20"/>
  <c r="F23" i="20"/>
  <c r="F24" i="20"/>
  <c r="F25" i="20"/>
  <c r="F20" i="20"/>
  <c r="P8" i="20"/>
  <c r="P9" i="20"/>
  <c r="P10" i="20"/>
  <c r="P11" i="20"/>
  <c r="P12" i="20"/>
  <c r="P7" i="20"/>
  <c r="F8" i="20"/>
  <c r="F9" i="20"/>
  <c r="F10" i="20"/>
  <c r="F11" i="20"/>
  <c r="F12" i="20"/>
  <c r="F7" i="20"/>
  <c r="I98" i="22"/>
  <c r="F98" i="22"/>
  <c r="AA98" i="22"/>
  <c r="E98" i="22"/>
  <c r="G98" i="22"/>
  <c r="H98" i="22"/>
  <c r="J98" i="22"/>
  <c r="K98" i="22"/>
  <c r="L98" i="22"/>
  <c r="M98" i="22"/>
  <c r="N98" i="22"/>
  <c r="O98" i="22"/>
  <c r="P98" i="22"/>
  <c r="Q98" i="22"/>
  <c r="R98" i="22"/>
  <c r="S98" i="22"/>
  <c r="T98" i="22"/>
  <c r="U98" i="22"/>
  <c r="V98" i="22"/>
  <c r="W98" i="22"/>
  <c r="X98" i="22"/>
  <c r="Y98" i="22"/>
  <c r="Z98" i="22"/>
  <c r="AB98" i="22"/>
  <c r="C98" i="22"/>
  <c r="K65" i="22"/>
  <c r="G65" i="22"/>
  <c r="D65" i="22"/>
  <c r="E65" i="22"/>
  <c r="F65" i="22"/>
  <c r="H65" i="22"/>
  <c r="I65" i="22"/>
  <c r="J65" i="22"/>
  <c r="L65" i="22"/>
  <c r="M65" i="22"/>
  <c r="N65" i="22"/>
  <c r="O65" i="22"/>
  <c r="P65" i="22"/>
  <c r="Q65" i="22"/>
  <c r="R65" i="22"/>
  <c r="S65" i="22"/>
  <c r="T65" i="22"/>
  <c r="U65" i="22"/>
  <c r="V65" i="22"/>
  <c r="W65" i="22"/>
  <c r="X65" i="22"/>
  <c r="Y65" i="22"/>
  <c r="Z65" i="22"/>
  <c r="AA65" i="22"/>
  <c r="AB65" i="22"/>
  <c r="C65" i="22"/>
  <c r="G32" i="22"/>
  <c r="D32" i="22"/>
  <c r="E32" i="22"/>
  <c r="F32" i="22"/>
  <c r="H32" i="22"/>
  <c r="I32" i="22"/>
  <c r="J32" i="22"/>
  <c r="K32" i="22"/>
  <c r="L32" i="22"/>
  <c r="M32" i="22"/>
  <c r="N32" i="22"/>
  <c r="O32" i="22"/>
  <c r="P32" i="22"/>
  <c r="Q32" i="22"/>
  <c r="R32" i="22"/>
  <c r="S32" i="22"/>
  <c r="T32" i="22"/>
  <c r="U32" i="22"/>
  <c r="V32" i="22"/>
  <c r="W32" i="22"/>
  <c r="X32" i="22"/>
  <c r="Y32" i="22"/>
  <c r="Z32" i="22"/>
  <c r="AA32" i="22"/>
  <c r="AB32" i="22"/>
  <c r="C32" i="22"/>
  <c r="L36" i="19"/>
  <c r="H36" i="19"/>
  <c r="F36" i="19"/>
  <c r="D36" i="19"/>
  <c r="E36" i="19"/>
  <c r="G36" i="19"/>
  <c r="I36" i="19"/>
  <c r="J36" i="19"/>
  <c r="K36" i="19"/>
  <c r="M36" i="19"/>
  <c r="N36" i="19"/>
  <c r="O36" i="19"/>
  <c r="P36" i="19"/>
  <c r="Q36" i="19"/>
  <c r="R36" i="19"/>
  <c r="S36" i="19"/>
  <c r="T36" i="19"/>
  <c r="U36" i="19"/>
  <c r="V36" i="19"/>
  <c r="W36" i="19"/>
  <c r="X36" i="19"/>
  <c r="Y36" i="19"/>
  <c r="Z36" i="19"/>
  <c r="AA36" i="19"/>
  <c r="AB36" i="19"/>
  <c r="AC36" i="19"/>
  <c r="E6" i="19"/>
  <c r="E7" i="19"/>
  <c r="E10" i="19"/>
  <c r="E11" i="19"/>
  <c r="E5" i="19"/>
  <c r="D326" i="1"/>
  <c r="I36" i="17"/>
  <c r="G36" i="17"/>
  <c r="F36" i="17"/>
  <c r="H36" i="17"/>
  <c r="J36" i="17"/>
  <c r="K36" i="17"/>
  <c r="L36" i="17"/>
  <c r="M36" i="17"/>
  <c r="N36" i="17"/>
  <c r="O36" i="17"/>
  <c r="P36" i="17"/>
  <c r="Q36" i="17"/>
  <c r="G7" i="17"/>
  <c r="G8" i="17"/>
  <c r="G10" i="17"/>
  <c r="G11" i="17"/>
  <c r="G12" i="17"/>
  <c r="G13" i="17"/>
  <c r="G14" i="17"/>
  <c r="G15" i="17"/>
  <c r="G16" i="17"/>
  <c r="G17" i="17"/>
  <c r="G6" i="17"/>
  <c r="V356" i="1"/>
  <c r="J356" i="28" s="1"/>
  <c r="V320" i="1"/>
  <c r="J320" i="28" s="1"/>
  <c r="V284" i="1"/>
  <c r="J284" i="28" s="1"/>
  <c r="V248" i="1"/>
  <c r="J248" i="28" s="1"/>
  <c r="V215" i="1"/>
  <c r="J215" i="28" s="1"/>
  <c r="V179" i="1"/>
  <c r="J179" i="28" s="1"/>
  <c r="V143" i="1"/>
  <c r="J143" i="28" s="1"/>
  <c r="V107" i="1"/>
  <c r="J107" i="28" s="1"/>
  <c r="V71" i="1"/>
  <c r="J71" i="28" s="1"/>
  <c r="V35" i="1"/>
  <c r="J35" i="28" s="1"/>
  <c r="V353" i="1"/>
  <c r="J353" i="28" s="1"/>
  <c r="V317" i="1"/>
  <c r="J317" i="28" s="1"/>
  <c r="V281" i="1"/>
  <c r="J281" i="28" s="1"/>
  <c r="V245" i="1"/>
  <c r="J245" i="28" s="1"/>
  <c r="V212" i="1"/>
  <c r="J212" i="28" s="1"/>
  <c r="V176" i="1"/>
  <c r="J176" i="28" s="1"/>
  <c r="V140" i="1"/>
  <c r="J140" i="28" s="1"/>
  <c r="V104" i="1"/>
  <c r="J104" i="28" s="1"/>
  <c r="V68" i="1"/>
  <c r="J68" i="28" s="1"/>
  <c r="V32" i="1"/>
  <c r="J32" i="28" s="1"/>
  <c r="V350" i="1"/>
  <c r="J350" i="28" s="1"/>
  <c r="V314" i="1"/>
  <c r="J314" i="28" s="1"/>
  <c r="V278" i="1"/>
  <c r="J278" i="28" s="1"/>
  <c r="V242" i="1"/>
  <c r="J242" i="28" s="1"/>
  <c r="V209" i="1"/>
  <c r="J209" i="28" s="1"/>
  <c r="V173" i="1"/>
  <c r="J173" i="28" s="1"/>
  <c r="V137" i="1"/>
  <c r="J137" i="28" s="1"/>
  <c r="V101" i="1"/>
  <c r="J101" i="28" s="1"/>
  <c r="V65" i="1"/>
  <c r="J65" i="28" s="1"/>
  <c r="V29" i="1"/>
  <c r="J29" i="28" s="1"/>
  <c r="V347" i="1"/>
  <c r="J347" i="28" s="1"/>
  <c r="V311" i="1"/>
  <c r="J311" i="28" s="1"/>
  <c r="V275" i="1"/>
  <c r="J275" i="28" s="1"/>
  <c r="V239" i="1"/>
  <c r="J239" i="28" s="1"/>
  <c r="V206" i="1"/>
  <c r="J206" i="28" s="1"/>
  <c r="V170" i="1"/>
  <c r="J170" i="28" s="1"/>
  <c r="V134" i="1"/>
  <c r="J134" i="28" s="1"/>
  <c r="V98" i="1"/>
  <c r="J98" i="28" s="1"/>
  <c r="V62" i="1"/>
  <c r="J62" i="28" s="1"/>
  <c r="V26" i="1"/>
  <c r="J26" i="28" s="1"/>
  <c r="V344" i="1"/>
  <c r="J344" i="28" s="1"/>
  <c r="V308" i="1"/>
  <c r="J308" i="28" s="1"/>
  <c r="V272" i="1"/>
  <c r="J272" i="28" s="1"/>
  <c r="V236" i="1"/>
  <c r="J236" i="28" s="1"/>
  <c r="V203" i="1"/>
  <c r="J203" i="28" s="1"/>
  <c r="V167" i="1"/>
  <c r="J167" i="28" s="1"/>
  <c r="V131" i="1"/>
  <c r="J131" i="28" s="1"/>
  <c r="V95" i="1"/>
  <c r="J95" i="28" s="1"/>
  <c r="V59" i="1"/>
  <c r="J59" i="28" s="1"/>
  <c r="V23" i="1"/>
  <c r="J23" i="28" s="1"/>
  <c r="V341" i="1"/>
  <c r="J341" i="28" s="1"/>
  <c r="V305" i="1"/>
  <c r="J305" i="28" s="1"/>
  <c r="V269" i="1"/>
  <c r="J269" i="28" s="1"/>
  <c r="V233" i="1"/>
  <c r="J233" i="28" s="1"/>
  <c r="V200" i="1"/>
  <c r="J200" i="28" s="1"/>
  <c r="V164" i="1"/>
  <c r="J164" i="28" s="1"/>
  <c r="V128" i="1"/>
  <c r="J128" i="28" s="1"/>
  <c r="V92" i="1"/>
  <c r="J92" i="28" s="1"/>
  <c r="V56" i="1"/>
  <c r="J56" i="28" s="1"/>
  <c r="V20" i="1"/>
  <c r="J20" i="28" s="1"/>
  <c r="V338" i="1"/>
  <c r="J338" i="28" s="1"/>
  <c r="V302" i="1"/>
  <c r="J302" i="28" s="1"/>
  <c r="V266" i="1"/>
  <c r="J266" i="28" s="1"/>
  <c r="V230" i="1"/>
  <c r="J230" i="28" s="1"/>
  <c r="V197" i="1"/>
  <c r="J197" i="28" s="1"/>
  <c r="V161" i="1"/>
  <c r="J161" i="28" s="1"/>
  <c r="V125" i="1"/>
  <c r="J125" i="28" s="1"/>
  <c r="V89" i="1"/>
  <c r="J89" i="28" s="1"/>
  <c r="V53" i="1"/>
  <c r="J53" i="28" s="1"/>
  <c r="V17" i="1"/>
  <c r="J17" i="28" s="1"/>
  <c r="V371" i="1"/>
  <c r="J371" i="28" s="1"/>
  <c r="V335" i="1"/>
  <c r="J335" i="28" s="1"/>
  <c r="V299" i="1"/>
  <c r="J299" i="28" s="1"/>
  <c r="V227" i="1"/>
  <c r="J227" i="28" s="1"/>
  <c r="V194" i="1"/>
  <c r="J194" i="28" s="1"/>
  <c r="V158" i="1"/>
  <c r="J158" i="28" s="1"/>
  <c r="V122" i="1"/>
  <c r="J122" i="28" s="1"/>
  <c r="V86" i="1"/>
  <c r="J86" i="28" s="1"/>
  <c r="V50" i="1"/>
  <c r="J50" i="28" s="1"/>
  <c r="V14" i="1"/>
  <c r="J14" i="28" s="1"/>
  <c r="V368" i="1"/>
  <c r="J368" i="28" s="1"/>
  <c r="V332" i="1"/>
  <c r="J332" i="28" s="1"/>
  <c r="V296" i="1"/>
  <c r="J296" i="28" s="1"/>
  <c r="V260" i="1"/>
  <c r="J260" i="28" s="1"/>
  <c r="V191" i="1"/>
  <c r="J191" i="28" s="1"/>
  <c r="V155" i="1"/>
  <c r="J155" i="28" s="1"/>
  <c r="V119" i="1"/>
  <c r="J119" i="28" s="1"/>
  <c r="V83" i="1"/>
  <c r="J83" i="28" s="1"/>
  <c r="V47" i="1"/>
  <c r="J47" i="28" s="1"/>
  <c r="V11" i="1"/>
  <c r="J11" i="28" s="1"/>
  <c r="V365" i="1"/>
  <c r="J365" i="28" s="1"/>
  <c r="V329" i="1"/>
  <c r="J329" i="28" s="1"/>
  <c r="V293" i="1"/>
  <c r="J293" i="28" s="1"/>
  <c r="V257" i="1"/>
  <c r="J257" i="28" s="1"/>
  <c r="V224" i="1"/>
  <c r="J224" i="28" s="1"/>
  <c r="V188" i="1"/>
  <c r="J188" i="28" s="1"/>
  <c r="V152" i="1"/>
  <c r="J152" i="28" s="1"/>
  <c r="V116" i="1"/>
  <c r="J116" i="28" s="1"/>
  <c r="V80" i="1"/>
  <c r="J80" i="28" s="1"/>
  <c r="V44" i="1"/>
  <c r="J44" i="28" s="1"/>
  <c r="V8" i="1"/>
  <c r="J8" i="28" s="1"/>
  <c r="V362" i="1"/>
  <c r="J362" i="28" s="1"/>
  <c r="V326" i="1"/>
  <c r="J326" i="28" s="1"/>
  <c r="V290" i="1"/>
  <c r="J290" i="28" s="1"/>
  <c r="V254" i="1"/>
  <c r="J254" i="28" s="1"/>
  <c r="V221" i="1"/>
  <c r="J221" i="28" s="1"/>
  <c r="V185" i="1"/>
  <c r="J185" i="28" s="1"/>
  <c r="V149" i="1"/>
  <c r="J149" i="28" s="1"/>
  <c r="V113" i="1"/>
  <c r="J113" i="28" s="1"/>
  <c r="V77" i="1"/>
  <c r="J77" i="28" s="1"/>
  <c r="V41" i="1"/>
  <c r="J41" i="28" s="1"/>
  <c r="V5" i="1"/>
  <c r="J5" i="28" s="1"/>
  <c r="V359" i="1"/>
  <c r="J359" i="28" s="1"/>
  <c r="V323" i="1"/>
  <c r="J323" i="28" s="1"/>
  <c r="V287" i="1"/>
  <c r="J287" i="28" s="1"/>
  <c r="V251" i="1"/>
  <c r="J251" i="28" s="1"/>
  <c r="V218" i="1"/>
  <c r="J218" i="28" s="1"/>
  <c r="V182" i="1"/>
  <c r="J182" i="28" s="1"/>
  <c r="V146" i="1"/>
  <c r="J146" i="28" s="1"/>
  <c r="V110" i="1"/>
  <c r="J110" i="28" s="1"/>
  <c r="V74" i="1"/>
  <c r="J74" i="28" s="1"/>
  <c r="V38" i="1"/>
  <c r="J38" i="28" s="1"/>
  <c r="V2" i="1"/>
  <c r="J2" i="28" s="1"/>
  <c r="B2" i="2"/>
  <c r="C2" i="2"/>
  <c r="E2" i="2"/>
  <c r="F2" i="2"/>
  <c r="G2" i="2"/>
  <c r="H2" i="2"/>
  <c r="I2" i="2"/>
  <c r="J2" i="2"/>
  <c r="K2" i="2"/>
  <c r="L2" i="2"/>
  <c r="M2" i="2"/>
  <c r="N2" i="2"/>
  <c r="O2" i="2"/>
  <c r="P2" i="2"/>
  <c r="Q2" i="2"/>
  <c r="R2" i="2"/>
  <c r="T2" i="2"/>
  <c r="U2" i="2"/>
  <c r="W2" i="2"/>
  <c r="X2" i="2"/>
  <c r="Y2" i="2"/>
  <c r="Z2" i="2"/>
  <c r="AA2" i="2"/>
  <c r="AB2" i="2"/>
  <c r="AC2" i="2"/>
  <c r="AD2" i="2"/>
  <c r="A2" i="2"/>
  <c r="D4" i="1"/>
  <c r="D3" i="1"/>
  <c r="D5" i="1"/>
  <c r="D7" i="1"/>
  <c r="D6" i="1"/>
  <c r="D8" i="1"/>
  <c r="D10" i="1"/>
  <c r="D9" i="1"/>
  <c r="D11" i="1"/>
  <c r="D13" i="1"/>
  <c r="D12" i="1"/>
  <c r="D14" i="1"/>
  <c r="D16" i="1"/>
  <c r="D15" i="1"/>
  <c r="D17" i="1"/>
  <c r="D19" i="1"/>
  <c r="D18" i="1"/>
  <c r="D20" i="1"/>
  <c r="D22" i="1"/>
  <c r="D21" i="1"/>
  <c r="D23" i="1"/>
  <c r="D24" i="1"/>
  <c r="D26" i="1"/>
  <c r="D28" i="1"/>
  <c r="D27" i="1"/>
  <c r="D29" i="1"/>
  <c r="D31" i="1"/>
  <c r="D30" i="1"/>
  <c r="D34" i="1"/>
  <c r="D33" i="1"/>
  <c r="D35" i="1"/>
  <c r="D37" i="1"/>
  <c r="D36" i="1"/>
  <c r="D38" i="1"/>
  <c r="D39" i="1"/>
  <c r="D41" i="1"/>
  <c r="D43" i="1"/>
  <c r="D42" i="1"/>
  <c r="D44" i="1"/>
  <c r="D46" i="1"/>
  <c r="D47" i="1"/>
  <c r="D49" i="1"/>
  <c r="D48" i="1"/>
  <c r="D50" i="1"/>
  <c r="D52" i="1"/>
  <c r="D51" i="1"/>
  <c r="D53" i="1"/>
  <c r="D55" i="1"/>
  <c r="D54" i="1"/>
  <c r="D56" i="1"/>
  <c r="D58" i="1"/>
  <c r="D57" i="1"/>
  <c r="D59" i="1"/>
  <c r="D61" i="1"/>
  <c r="D60" i="1"/>
  <c r="D62" i="1"/>
  <c r="D64" i="1"/>
  <c r="D63" i="1"/>
  <c r="D65" i="1"/>
  <c r="D67" i="1"/>
  <c r="D66" i="1"/>
  <c r="D68" i="1"/>
  <c r="D70" i="1"/>
  <c r="D69" i="1"/>
  <c r="D71" i="1"/>
  <c r="D73" i="1"/>
  <c r="D72" i="1"/>
  <c r="D74" i="1"/>
  <c r="D76" i="1"/>
  <c r="D75" i="1"/>
  <c r="D77" i="1"/>
  <c r="D79" i="1"/>
  <c r="D78" i="1"/>
  <c r="D80" i="1"/>
  <c r="D82" i="1"/>
  <c r="D81" i="1"/>
  <c r="D83" i="1"/>
  <c r="D85" i="1"/>
  <c r="D84" i="1"/>
  <c r="D86" i="1"/>
  <c r="D88" i="1"/>
  <c r="D87" i="1"/>
  <c r="D89" i="1"/>
  <c r="D91" i="1"/>
  <c r="D90" i="1"/>
  <c r="D92" i="1"/>
  <c r="D94" i="1"/>
  <c r="D93" i="1"/>
  <c r="D95" i="1"/>
  <c r="D97" i="1"/>
  <c r="D96" i="1"/>
  <c r="D98" i="1"/>
  <c r="D100" i="1"/>
  <c r="D99" i="1"/>
  <c r="D101" i="1"/>
  <c r="D103" i="1"/>
  <c r="D102" i="1"/>
  <c r="D104" i="1"/>
  <c r="D106" i="1"/>
  <c r="D105" i="1"/>
  <c r="D107" i="1"/>
  <c r="D109" i="1"/>
  <c r="D108" i="1"/>
  <c r="D110" i="1"/>
  <c r="D112" i="1"/>
  <c r="D111" i="1"/>
  <c r="D113" i="1"/>
  <c r="D115" i="1"/>
  <c r="D114" i="1"/>
  <c r="D116" i="1"/>
  <c r="D118" i="1"/>
  <c r="D117" i="1"/>
  <c r="D119" i="1"/>
  <c r="D121" i="1"/>
  <c r="D120" i="1"/>
  <c r="D122" i="1"/>
  <c r="D124" i="1"/>
  <c r="D123" i="1"/>
  <c r="D125" i="1"/>
  <c r="D127" i="1"/>
  <c r="D126" i="1"/>
  <c r="D128" i="1"/>
  <c r="D130" i="1"/>
  <c r="D129" i="1"/>
  <c r="D131" i="1"/>
  <c r="D133" i="1"/>
  <c r="D132" i="1"/>
  <c r="D134" i="1"/>
  <c r="D136" i="1"/>
  <c r="D135" i="1"/>
  <c r="D137" i="1"/>
  <c r="D139" i="1"/>
  <c r="D138" i="1"/>
  <c r="D140" i="1"/>
  <c r="D142" i="1"/>
  <c r="D141" i="1"/>
  <c r="D143" i="1"/>
  <c r="D145" i="1"/>
  <c r="D144" i="1"/>
  <c r="D146" i="1"/>
  <c r="D148" i="1"/>
  <c r="D147" i="1"/>
  <c r="D149" i="1"/>
  <c r="D151" i="1"/>
  <c r="D150" i="1"/>
  <c r="D152" i="1"/>
  <c r="D154" i="1"/>
  <c r="D153" i="1"/>
  <c r="D155" i="1"/>
  <c r="D157" i="1"/>
  <c r="D156" i="1"/>
  <c r="D158" i="1"/>
  <c r="D160" i="1"/>
  <c r="D159" i="1"/>
  <c r="D161" i="1"/>
  <c r="D163" i="1"/>
  <c r="D162" i="1"/>
  <c r="D164" i="1"/>
  <c r="D166" i="1"/>
  <c r="D165" i="1"/>
  <c r="D167" i="1"/>
  <c r="D169" i="1"/>
  <c r="D168" i="1"/>
  <c r="D170" i="1"/>
  <c r="D172" i="1"/>
  <c r="D171" i="1"/>
  <c r="D173" i="1"/>
  <c r="D175" i="1"/>
  <c r="D174" i="1"/>
  <c r="D176" i="1"/>
  <c r="D178" i="1"/>
  <c r="D177" i="1"/>
  <c r="D179" i="1"/>
  <c r="D181" i="1"/>
  <c r="D180" i="1"/>
  <c r="D182" i="1"/>
  <c r="D184" i="1"/>
  <c r="D183" i="1"/>
  <c r="D185" i="1"/>
  <c r="D187" i="1"/>
  <c r="D186" i="1"/>
  <c r="D188" i="1"/>
  <c r="D190" i="1"/>
  <c r="D189" i="1"/>
  <c r="D191" i="1"/>
  <c r="D193" i="1"/>
  <c r="D192" i="1"/>
  <c r="D194" i="1"/>
  <c r="D196" i="1"/>
  <c r="D195" i="1"/>
  <c r="D197" i="1"/>
  <c r="D199" i="1"/>
  <c r="D198" i="1"/>
  <c r="D200" i="1"/>
  <c r="D202" i="1"/>
  <c r="D201" i="1"/>
  <c r="D203" i="1"/>
  <c r="D205" i="1"/>
  <c r="D204" i="1"/>
  <c r="D206" i="1"/>
  <c r="D208" i="1"/>
  <c r="D207" i="1"/>
  <c r="D209" i="1"/>
  <c r="D211" i="1"/>
  <c r="D210" i="1"/>
  <c r="D212" i="1"/>
  <c r="D214" i="1"/>
  <c r="D213" i="1"/>
  <c r="D215" i="1"/>
  <c r="D217" i="1"/>
  <c r="D216" i="1"/>
  <c r="D218" i="1"/>
  <c r="D220" i="1"/>
  <c r="D219" i="1"/>
  <c r="D221" i="1"/>
  <c r="D223" i="1"/>
  <c r="D222" i="1"/>
  <c r="D224" i="1"/>
  <c r="D226" i="1"/>
  <c r="D225" i="1"/>
  <c r="D227" i="1"/>
  <c r="D229" i="1"/>
  <c r="D228" i="1"/>
  <c r="D230" i="1"/>
  <c r="D232" i="1"/>
  <c r="D231" i="1"/>
  <c r="D233" i="1"/>
  <c r="D235" i="1"/>
  <c r="D234" i="1"/>
  <c r="D236" i="1"/>
  <c r="D238" i="1"/>
  <c r="D237" i="1"/>
  <c r="D239" i="1"/>
  <c r="D241" i="1"/>
  <c r="D240" i="1"/>
  <c r="D242" i="1"/>
  <c r="D244" i="1"/>
  <c r="D243" i="1"/>
  <c r="D245" i="1"/>
  <c r="D247" i="1"/>
  <c r="D246" i="1"/>
  <c r="D248" i="1"/>
  <c r="D250" i="1"/>
  <c r="D249" i="1"/>
  <c r="D251" i="1"/>
  <c r="D253" i="1"/>
  <c r="D252" i="1"/>
  <c r="D254" i="1"/>
  <c r="D256" i="1"/>
  <c r="D255" i="1"/>
  <c r="D257" i="1"/>
  <c r="D259" i="1"/>
  <c r="D258" i="1"/>
  <c r="D260" i="1"/>
  <c r="D262" i="1"/>
  <c r="D261" i="1"/>
  <c r="D263" i="1"/>
  <c r="D265" i="1"/>
  <c r="D264" i="1"/>
  <c r="D266" i="1"/>
  <c r="D268" i="1"/>
  <c r="D267" i="1"/>
  <c r="D269" i="1"/>
  <c r="D271" i="1"/>
  <c r="D270" i="1"/>
  <c r="D272" i="1"/>
  <c r="D274" i="1"/>
  <c r="D273" i="1"/>
  <c r="D275" i="1"/>
  <c r="D277" i="1"/>
  <c r="D276" i="1"/>
  <c r="D278" i="1"/>
  <c r="D280" i="1"/>
  <c r="D279" i="1"/>
  <c r="D281" i="1"/>
  <c r="D283" i="1"/>
  <c r="D282" i="1"/>
  <c r="D284" i="1"/>
  <c r="D286" i="1"/>
  <c r="D285" i="1"/>
  <c r="D287" i="1"/>
  <c r="D289" i="1"/>
  <c r="D288" i="1"/>
  <c r="D290" i="1"/>
  <c r="D292" i="1"/>
  <c r="D291" i="1"/>
  <c r="D293" i="1"/>
  <c r="D295" i="1"/>
  <c r="D294" i="1"/>
  <c r="D296" i="1"/>
  <c r="D298" i="1"/>
  <c r="D297" i="1"/>
  <c r="D299" i="1"/>
  <c r="D301" i="1"/>
  <c r="D300" i="1"/>
  <c r="D302" i="1"/>
  <c r="D304" i="1"/>
  <c r="D303" i="1"/>
  <c r="D305" i="1"/>
  <c r="D307" i="1"/>
  <c r="D306" i="1"/>
  <c r="D308" i="1"/>
  <c r="D310" i="1"/>
  <c r="D309" i="1"/>
  <c r="D311" i="1"/>
  <c r="D313" i="1"/>
  <c r="D312" i="1"/>
  <c r="D314" i="1"/>
  <c r="D316" i="1"/>
  <c r="D315" i="1"/>
  <c r="D317" i="1"/>
  <c r="D319" i="1"/>
  <c r="D318" i="1"/>
  <c r="D320" i="1"/>
  <c r="D322" i="1"/>
  <c r="D321" i="1"/>
  <c r="D323" i="1"/>
  <c r="D325" i="1"/>
  <c r="D324" i="1"/>
  <c r="D328" i="1"/>
  <c r="D327" i="1"/>
  <c r="D329" i="1"/>
  <c r="D331" i="1"/>
  <c r="D330" i="1"/>
  <c r="D332" i="1"/>
  <c r="D334" i="1"/>
  <c r="D333" i="1"/>
  <c r="D335" i="1"/>
  <c r="D337" i="1"/>
  <c r="D336" i="1"/>
  <c r="D338" i="1"/>
  <c r="D340" i="1"/>
  <c r="D339" i="1"/>
  <c r="D341" i="1"/>
  <c r="D343" i="1"/>
  <c r="D342" i="1"/>
  <c r="D344" i="1"/>
  <c r="D346" i="1"/>
  <c r="D345" i="1"/>
  <c r="D347" i="1"/>
  <c r="D349" i="1"/>
  <c r="D348" i="1"/>
  <c r="D350" i="1"/>
  <c r="D352" i="1"/>
  <c r="D351" i="1"/>
  <c r="D353" i="1"/>
  <c r="D355" i="1"/>
  <c r="D354" i="1"/>
  <c r="D356" i="1"/>
  <c r="D358" i="1"/>
  <c r="D357" i="1"/>
  <c r="D359" i="1"/>
  <c r="D361" i="1"/>
  <c r="D360" i="1"/>
  <c r="D362" i="1"/>
  <c r="D364" i="1"/>
  <c r="D363" i="1"/>
  <c r="D365" i="1"/>
  <c r="D367" i="1"/>
  <c r="D366" i="1"/>
  <c r="D368" i="1"/>
  <c r="D370" i="1"/>
  <c r="D369" i="1"/>
  <c r="D371" i="1"/>
  <c r="D373" i="1"/>
  <c r="D372" i="1"/>
  <c r="J3" i="17"/>
  <c r="J2" i="17"/>
  <c r="M10" i="25" l="1"/>
  <c r="M8" i="25"/>
  <c r="M9" i="25"/>
  <c r="H11" i="25"/>
  <c r="H10" i="25"/>
  <c r="I2" i="17"/>
  <c r="I3" i="17"/>
  <c r="M7" i="25"/>
  <c r="M12" i="25"/>
  <c r="H9" i="25"/>
  <c r="H8" i="25"/>
  <c r="H7" i="25"/>
  <c r="H12" i="25"/>
  <c r="M11" i="25"/>
  <c r="C7" i="25"/>
  <c r="C12" i="25"/>
  <c r="C11" i="25"/>
  <c r="C10" i="25"/>
  <c r="C9" i="25"/>
  <c r="V2" i="2"/>
  <c r="D2" i="2"/>
  <c r="S2" i="2"/>
  <c r="M14" i="25" l="1"/>
  <c r="H14" i="25"/>
  <c r="C14" i="25"/>
  <c r="E8" i="19" l="1"/>
  <c r="AE2" i="2"/>
</calcChain>
</file>

<file path=xl/sharedStrings.xml><?xml version="1.0" encoding="utf-8"?>
<sst xmlns="http://schemas.openxmlformats.org/spreadsheetml/2006/main" count="3430" uniqueCount="163">
  <si>
    <t>Sector</t>
  </si>
  <si>
    <t>Year</t>
  </si>
  <si>
    <t>Month</t>
  </si>
  <si>
    <t>Cereals and products</t>
  </si>
  <si>
    <t>Meat and fish</t>
  </si>
  <si>
    <t>Egg</t>
  </si>
  <si>
    <t>Milk and products</t>
  </si>
  <si>
    <t>Oils and fats</t>
  </si>
  <si>
    <t>Fruits</t>
  </si>
  <si>
    <t>Vegetables</t>
  </si>
  <si>
    <t>Pulses and products</t>
  </si>
  <si>
    <t>Sugar and Confectionery</t>
  </si>
  <si>
    <t>Spices</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</si>
  <si>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</si>
  <si>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</si>
  <si>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</si>
  <si>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</si>
  <si>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</si>
  <si>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</si>
  <si>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</si>
  <si>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</si>
  <si>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</si>
  <si>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</si>
  <si>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</si>
  <si>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</si>
  <si>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</si>
  <si>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</si>
  <si>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</si>
  <si>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</si>
  <si>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</si>
  <si>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</si>
  <si>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</si>
  <si>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</si>
  <si>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</si>
  <si>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</si>
  <si>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</si>
  <si>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</si>
  <si>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</si>
  <si>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</si>
  <si>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</si>
  <si>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</si>
  <si>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</si>
  <si>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</si>
  <si>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</si>
  <si>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Month no.</t>
  </si>
  <si>
    <t>Prepared meals, scks, sweets etc.</t>
  </si>
  <si>
    <t>Persol care and effects</t>
  </si>
  <si>
    <t>Nonalcoholic beverages</t>
  </si>
  <si>
    <t>Household and Utilities</t>
  </si>
  <si>
    <t>Health,Education and Personal Care</t>
  </si>
  <si>
    <t>Food and Beverages</t>
  </si>
  <si>
    <t>Grand Total</t>
  </si>
  <si>
    <t>TOTAL</t>
  </si>
  <si>
    <t>INFLATION %</t>
  </si>
  <si>
    <t>Sum of Food and Beverages</t>
  </si>
  <si>
    <t>Inflation</t>
  </si>
  <si>
    <t>Which individual category contributes the highest ?</t>
  </si>
  <si>
    <t>Sectors</t>
  </si>
  <si>
    <t xml:space="preserve">                   Cereals and products &amp; Spices are the individual category that contributes the highest in rising inflation rate.</t>
  </si>
  <si>
    <t>Essential Services</t>
  </si>
  <si>
    <t>YOY % change</t>
  </si>
  <si>
    <r>
      <t xml:space="preserve">                  </t>
    </r>
    <r>
      <rPr>
        <b/>
        <sz val="12"/>
        <color theme="9"/>
        <rFont val="Calibri"/>
        <family val="2"/>
        <scheme val="minor"/>
      </rPr>
      <t>2022 is the year with highest inflation rate.</t>
    </r>
  </si>
  <si>
    <t>Month number</t>
  </si>
  <si>
    <r>
      <t xml:space="preserve">                 Prices of </t>
    </r>
    <r>
      <rPr>
        <b/>
        <sz val="12"/>
        <color rgb="FFFF0000"/>
        <rFont val="Calibri"/>
        <family val="2"/>
        <scheme val="minor"/>
      </rPr>
      <t>Cereals and products, Spices and Fuel and light</t>
    </r>
    <r>
      <rPr>
        <b/>
        <sz val="12"/>
        <color theme="9"/>
        <rFont val="Calibri"/>
        <family val="2"/>
        <scheme val="minor"/>
      </rPr>
      <t xml:space="preserve"> increased in year 2022 which is the reason of high inflation rate in the year 2022.</t>
    </r>
  </si>
  <si>
    <t>RURAL</t>
  </si>
  <si>
    <t xml:space="preserve">URBAN </t>
  </si>
  <si>
    <t>URBAN + RURAL</t>
  </si>
  <si>
    <t xml:space="preserve">Months </t>
  </si>
  <si>
    <t>Crude oil price</t>
  </si>
  <si>
    <t>Petroleum Planning &amp; Analysis Cell</t>
  </si>
  <si>
    <t>Crude Oil FOB Price (Indian Basket)</t>
  </si>
  <si>
    <t>Table Posted: (01-04-2025)</t>
  </si>
  <si>
    <t>Period : Since 2000-01</t>
  </si>
  <si>
    <t>($/bbl.)</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</si>
  <si>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</si>
  <si>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</si>
  <si>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</si>
  <si>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</si>
  <si>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</si>
  <si>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</si>
  <si>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</si>
  <si>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</si>
  <si>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</si>
  <si>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</si>
  <si>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</si>
  <si>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</si>
  <si>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</si>
  <si>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</si>
  <si>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</si>
  <si>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</si>
  <si>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</si>
  <si>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</si>
  <si>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</si>
  <si>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</si>
  <si>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</si>
  <si>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</si>
  <si>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</si>
  <si>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</si>
  <si>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</si>
  <si>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</si>
  <si>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</si>
  <si>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</si>
  <si>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</si>
  <si>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</si>
  <si>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</si>
  <si>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</si>
  <si>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</si>
  <si>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</si>
  <si>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</si>
  <si>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</si>
  <si>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</si>
  <si>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</si>
  <si>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</si>
  <si>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</si>
  <si>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</si>
  <si>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</si>
  <si>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</si>
  <si>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2024-25</t>
  </si>
  <si>
    <t>78.50:21.50</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</si>
  <si>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</si>
  <si>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</si>
  <si>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</si>
  <si>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Rural +Urban</t>
  </si>
  <si>
    <t>Categories</t>
  </si>
  <si>
    <t xml:space="preserve">        -</t>
  </si>
  <si>
    <t>Why 2022 is the year with highest inflation rate?</t>
  </si>
  <si>
    <t xml:space="preserve">                     June month has the highest inflation rate whereas in december inflation rate is lowest.</t>
  </si>
  <si>
    <t>Inflation % for Rural areas</t>
  </si>
  <si>
    <t>Inflation % for Urban areas</t>
  </si>
  <si>
    <t>Inflation % for Urban+Rural areas</t>
  </si>
  <si>
    <t>For "RURAL" Areas:</t>
  </si>
  <si>
    <t>For "URBAN" Areas:</t>
  </si>
  <si>
    <t>For "RURAL + URBAN" Areas:</t>
  </si>
  <si>
    <t>Correlation of categories in relation with crude oil prices</t>
  </si>
  <si>
    <t>Correlation</t>
  </si>
  <si>
    <t xml:space="preserve">  Health inflation shows a sustained,elevated rise across all the sectors post-covid which signifies increase in medical service cost.</t>
  </si>
  <si>
    <t xml:space="preserve">  Food and Beverages category experienced a sharp spike in inflation across all the sectors post -covid due to demand and supply.</t>
  </si>
  <si>
    <t xml:space="preserve">  Essential services shows a high upward trend across all the sectors post - covid influenced by high global fuel prices and transport services.</t>
  </si>
  <si>
    <r>
      <t xml:space="preserve">               A strong positive correlation is observed between crude oil and (</t>
    </r>
    <r>
      <rPr>
        <b/>
        <sz val="12"/>
        <color rgb="FFFF0000"/>
        <rFont val="Calibri"/>
        <family val="2"/>
        <scheme val="minor"/>
      </rPr>
      <t>Meat and fish,Oils and fats,Transport and communication</t>
    </r>
    <r>
      <rPr>
        <b/>
        <sz val="12"/>
        <color theme="9"/>
        <rFont val="Calibri"/>
        <family val="2"/>
        <scheme val="minor"/>
      </rPr>
      <t>).</t>
    </r>
  </si>
  <si>
    <t>Values</t>
  </si>
  <si>
    <t>URBAN</t>
  </si>
  <si>
    <t>RURAL + URBAN</t>
  </si>
  <si>
    <t xml:space="preserve">                   Food and Beverages contributes the highest in CPI calculation across all the sectors.</t>
  </si>
  <si>
    <r>
      <t xml:space="preserve">         In the given dataset "</t>
    </r>
    <r>
      <rPr>
        <b/>
        <sz val="12"/>
        <color rgb="FFFF0000"/>
        <rFont val="Calibri"/>
        <family val="2"/>
        <scheme val="minor"/>
      </rPr>
      <t xml:space="preserve">MAY 2023 </t>
    </r>
    <r>
      <rPr>
        <b/>
        <sz val="12"/>
        <color theme="9"/>
        <rFont val="Calibri"/>
        <family val="2"/>
        <scheme val="minor"/>
      </rPr>
      <t>" is the latest month.</t>
    </r>
  </si>
  <si>
    <t>Contribution %</t>
  </si>
  <si>
    <t>CPI Case Study</t>
  </si>
  <si>
    <t>INSIGHT 2:</t>
  </si>
  <si>
    <r>
      <rPr>
        <b/>
        <sz val="12"/>
        <color theme="9" tint="-0.249977111117893"/>
        <rFont val="Calibri"/>
        <family val="2"/>
        <scheme val="minor"/>
      </rPr>
      <t>2022</t>
    </r>
    <r>
      <rPr>
        <b/>
        <sz val="12"/>
        <color rgb="FFC00000"/>
        <rFont val="Calibri"/>
        <family val="2"/>
        <scheme val="minor"/>
      </rPr>
      <t xml:space="preserve"> is the year with highest inflation rate.</t>
    </r>
  </si>
  <si>
    <r>
      <rPr>
        <b/>
        <sz val="12"/>
        <color theme="1"/>
        <rFont val="Calibri"/>
        <family val="2"/>
        <scheme val="minor"/>
      </rPr>
      <t xml:space="preserve">INSIGHT 1 : </t>
    </r>
    <r>
      <rPr>
        <b/>
        <sz val="12"/>
        <color theme="9" tint="-0.249977111117893"/>
        <rFont val="Calibri"/>
        <family val="2"/>
        <scheme val="minor"/>
      </rPr>
      <t>Food and Beverages</t>
    </r>
    <r>
      <rPr>
        <b/>
        <sz val="12"/>
        <color rgb="FFC00000"/>
        <rFont val="Calibri"/>
        <family val="2"/>
        <scheme val="minor"/>
      </rPr>
      <t xml:space="preserve"> contributes the highest in CPI calculation in the latest month across all the sectors.</t>
    </r>
  </si>
  <si>
    <t>INSIGHT 3:</t>
  </si>
  <si>
    <r>
      <rPr>
        <b/>
        <sz val="12"/>
        <color theme="9" tint="-0.249977111117893"/>
        <rFont val="Calibri"/>
        <family val="2"/>
        <scheme val="minor"/>
      </rPr>
      <t>June</t>
    </r>
    <r>
      <rPr>
        <b/>
        <sz val="12"/>
        <color rgb="FFC00000"/>
        <rFont val="Calibri"/>
        <family val="2"/>
        <scheme val="minor"/>
      </rPr>
      <t xml:space="preserve"> month has the highest inflation rate whereas in </t>
    </r>
    <r>
      <rPr>
        <b/>
        <sz val="12"/>
        <color theme="9" tint="-0.249977111117893"/>
        <rFont val="Calibri"/>
        <family val="2"/>
        <scheme val="minor"/>
      </rPr>
      <t>december</t>
    </r>
    <r>
      <rPr>
        <b/>
        <sz val="12"/>
        <color rgb="FFC00000"/>
        <rFont val="Calibri"/>
        <family val="2"/>
        <scheme val="minor"/>
      </rPr>
      <t xml:space="preserve"> inflation rate is lowest.</t>
    </r>
  </si>
  <si>
    <r>
      <t xml:space="preserve">Prices of </t>
    </r>
    <r>
      <rPr>
        <b/>
        <sz val="12"/>
        <color theme="9" tint="-0.249977111117893"/>
        <rFont val="Calibri"/>
        <family val="2"/>
        <scheme val="minor"/>
      </rPr>
      <t>Cereals and products</t>
    </r>
    <r>
      <rPr>
        <b/>
        <sz val="12"/>
        <color rgb="FFC00000"/>
        <rFont val="Calibri"/>
        <family val="2"/>
        <scheme val="minor"/>
      </rPr>
      <t xml:space="preserve"> ,</t>
    </r>
    <r>
      <rPr>
        <b/>
        <sz val="12"/>
        <color theme="9" tint="-0.249977111117893"/>
        <rFont val="Calibri"/>
        <family val="2"/>
        <scheme val="minor"/>
      </rPr>
      <t xml:space="preserve"> Spices </t>
    </r>
    <r>
      <rPr>
        <b/>
        <sz val="12"/>
        <color rgb="FFC00000"/>
        <rFont val="Calibri"/>
        <family val="2"/>
        <scheme val="minor"/>
      </rPr>
      <t xml:space="preserve">and </t>
    </r>
    <r>
      <rPr>
        <b/>
        <sz val="12"/>
        <color theme="9" tint="-0.249977111117893"/>
        <rFont val="Calibri"/>
        <family val="2"/>
        <scheme val="minor"/>
      </rPr>
      <t>Fuel and light</t>
    </r>
    <r>
      <rPr>
        <b/>
        <sz val="12"/>
        <color rgb="FFC00000"/>
        <rFont val="Calibri"/>
        <family val="2"/>
        <scheme val="minor"/>
      </rPr>
      <t xml:space="preserve"> increased in year 2022 which is the reason of high inflation rate in the year 2022.</t>
    </r>
  </si>
  <si>
    <t>INSIGHT 4:</t>
  </si>
  <si>
    <r>
      <rPr>
        <b/>
        <sz val="12"/>
        <color theme="9" tint="-0.249977111117893"/>
        <rFont val="Calibri"/>
        <family val="2"/>
        <scheme val="minor"/>
      </rPr>
      <t>Health</t>
    </r>
    <r>
      <rPr>
        <b/>
        <sz val="12"/>
        <color rgb="FFC00000"/>
        <rFont val="Calibri"/>
        <family val="2"/>
        <scheme val="minor"/>
      </rPr>
      <t xml:space="preserve"> inflation shows a sustained,elevated rise across all the sectors post-covid which signifies increase in medical service cost.</t>
    </r>
  </si>
  <si>
    <r>
      <rPr>
        <b/>
        <sz val="12"/>
        <color theme="9" tint="-0.249977111117893"/>
        <rFont val="Calibri"/>
        <family val="2"/>
        <scheme val="minor"/>
      </rPr>
      <t>Food and Beverages</t>
    </r>
    <r>
      <rPr>
        <b/>
        <sz val="12"/>
        <color rgb="FFC00000"/>
        <rFont val="Calibri"/>
        <family val="2"/>
        <scheme val="minor"/>
      </rPr>
      <t xml:space="preserve"> category experienced a sharp spike in inflation across all the sectors post -covid due to demand and supply.</t>
    </r>
  </si>
  <si>
    <r>
      <rPr>
        <b/>
        <sz val="12"/>
        <color theme="9" tint="-0.249977111117893"/>
        <rFont val="Calibri"/>
        <family val="2"/>
        <scheme val="minor"/>
      </rPr>
      <t>Essential services</t>
    </r>
    <r>
      <rPr>
        <b/>
        <sz val="12"/>
        <color rgb="FFC00000"/>
        <rFont val="Calibri"/>
        <family val="2"/>
        <scheme val="minor"/>
      </rPr>
      <t xml:space="preserve"> shows a high upward trend across all the sectors post - covid influenced by high global fuel prices and transport services.</t>
    </r>
  </si>
  <si>
    <r>
      <t>INSIGHT 5:</t>
    </r>
    <r>
      <rPr>
        <b/>
        <sz val="12"/>
        <color rgb="FFC00000"/>
        <rFont val="Calibri"/>
        <family val="2"/>
        <scheme val="minor"/>
      </rPr>
      <t xml:space="preserve"> A strong positive correlation is observed between </t>
    </r>
    <r>
      <rPr>
        <b/>
        <sz val="12"/>
        <color theme="9" tint="-0.249977111117893"/>
        <rFont val="Calibri"/>
        <family val="2"/>
        <scheme val="minor"/>
      </rPr>
      <t>crude oil</t>
    </r>
    <r>
      <rPr>
        <b/>
        <sz val="12"/>
        <color rgb="FFC00000"/>
        <rFont val="Calibri"/>
        <family val="2"/>
        <scheme val="minor"/>
      </rPr>
      <t xml:space="preserve"> and (</t>
    </r>
    <r>
      <rPr>
        <b/>
        <sz val="12"/>
        <color theme="9" tint="-0.249977111117893"/>
        <rFont val="Calibri"/>
        <family val="2"/>
        <scheme val="minor"/>
      </rPr>
      <t>Meat and fish,Oils and fats,Transport and communication</t>
    </r>
    <r>
      <rPr>
        <b/>
        <sz val="12"/>
        <color rgb="FFC00000"/>
        <rFont val="Calibri"/>
        <family val="2"/>
        <scheme val="minor"/>
      </rPr>
      <t>).</t>
    </r>
  </si>
  <si>
    <t>Ques : Based on the latest month data, which broader category has the highest contribution towards CPI across all sectors?</t>
  </si>
  <si>
    <t>Ques : Analyze the year-on-year CPI trend from 2017 and identify the year with the highest inflation and also find the reason .</t>
  </si>
  <si>
    <t>Ques : Analyze food category price trends from June 2022 to May 2023 and identify the month with the highest food inflation.</t>
  </si>
  <si>
    <t>Ques : Evaluate the impact of COVID-19 on CPI inflation by comparing trends before and after the pandemic (Mar 20 ) on categories like health,food and essential services.</t>
  </si>
  <si>
    <t>Ques : Analyze the impact of imported oil price fluctuations on CPI from year 2021 to 2023 ( Month on Month ) and identify highly correlated categories.</t>
  </si>
  <si>
    <r>
      <rPr>
        <b/>
        <sz val="12"/>
        <color theme="9"/>
        <rFont val="Calibri"/>
        <family val="2"/>
        <scheme val="minor"/>
      </rPr>
      <t>Cereals and products</t>
    </r>
    <r>
      <rPr>
        <b/>
        <sz val="12"/>
        <color rgb="FFC00000"/>
        <rFont val="Calibri"/>
        <family val="2"/>
        <scheme val="minor"/>
      </rPr>
      <t xml:space="preserve"> &amp; </t>
    </r>
    <r>
      <rPr>
        <b/>
        <sz val="12"/>
        <color theme="9"/>
        <rFont val="Calibri"/>
        <family val="2"/>
        <scheme val="minor"/>
      </rPr>
      <t>Spices</t>
    </r>
    <r>
      <rPr>
        <b/>
        <sz val="12"/>
        <color rgb="FFC00000"/>
        <rFont val="Calibri"/>
        <family val="2"/>
        <scheme val="minor"/>
      </rPr>
      <t xml:space="preserve"> are the individual category that contributes the highest in rising inflation 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</si>
</sst>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mmmm"/>
  </numFmts>
  <fonts count="4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9"/>
      <name val="Calibri"/>
      <family val="2"/>
      <scheme val="minor"/>
    </font>
    <font>
      <b/>
      <sz val="11"/>
      <color theme="5"/>
      <name val="Calibri"/>
      <family val="2"/>
      <scheme val="minor"/>
    </font>
    <font>
      <b/>
      <sz val="11"/>
      <color rgb="FF00B0F0"/>
      <name val="Calibri"/>
      <family val="2"/>
      <scheme val="minor"/>
    </font>
    <font>
      <b/>
      <sz val="11"/>
      <color rgb="FFFF0000"/>
      <name val="Calibri"/>
      <family val="2"/>
      <scheme val="minor"/>
    </font>
    <font>
      <b/>
      <sz val="11"/>
      <color rgb="FFFF3399"/>
      <name val="Calibri"/>
      <family val="2"/>
      <scheme val="minor"/>
    </font>
    <font>
      <b/>
      <sz val="11"/>
      <color rgb="FF7030A0"/>
      <name val="Calibri"/>
      <family val="2"/>
      <scheme val="minor"/>
    </font>
    <font>
      <b/>
      <sz val="12"/>
      <color rgb="FFFF0000"/>
      <name val="Calibri"/>
      <family val="2"/>
      <scheme val="minor"/>
    </font>
    <font>
      <b/>
      <sz val="12"/>
      <color theme="9"/>
      <name val="Calibri"/>
      <family val="2"/>
      <scheme val="minor"/>
    </font>
    <font>
      <sz val="12"/>
      <color rgb="FFFF0000"/>
      <name val="Calibri"/>
      <family val="2"/>
      <scheme val="minor"/>
    </font>
    <font>
      <sz val="12"/>
      <color theme="1"/>
      <name val="Calibri"/>
      <family val="2"/>
      <scheme val="minor"/>
    </font>
    <font>
      <sz val="14"/>
      <color rgb="FFFF0000"/>
      <name val="Calibri"/>
      <family val="2"/>
      <scheme val="minor"/>
    </font>
    <font>
      <sz val="12"/>
      <color theme="1"/>
      <name val="Times New Roman"/>
      <family val="1"/>
    </font>
    <font>
      <sz val="10"/>
      <name val="Arial"/>
      <family val="2"/>
    </font>
    <font>
      <b/>
      <sz val="12"/>
      <name val="Times New Roman"/>
      <family val="1"/>
    </font>
    <font>
      <b/>
      <u/>
      <sz val="16"/>
      <color theme="1"/>
      <name val="Times New Roman"/>
      <family val="1"/>
    </font>
    <font>
      <b/>
      <sz val="14"/>
      <name val="Times New Roman"/>
      <family val="1"/>
    </font>
    <font>
      <b/>
      <sz val="12"/>
      <color theme="1"/>
      <name val="Times New Roman"/>
      <family val="1"/>
    </font>
    <font>
      <i/>
      <sz val="12"/>
      <name val="Times New Roman"/>
      <family val="1"/>
    </font>
    <font>
      <i/>
      <sz val="12"/>
      <color theme="1"/>
      <name val="Times New Roman"/>
      <family val="1"/>
    </font>
    <font>
      <b/>
      <sz val="14"/>
      <color rgb="FFFF0000"/>
      <name val="Calibri"/>
      <family val="2"/>
      <scheme val="minor"/>
    </font>
    <font>
      <b/>
      <u/>
      <sz val="14"/>
      <color rgb="FFFF0000"/>
      <name val="Calibri"/>
      <family val="2"/>
      <scheme val="minor"/>
    </font>
    <font>
      <b/>
      <sz val="12"/>
      <color rgb="FFC00000"/>
      <name val="Calibri"/>
      <family val="2"/>
      <scheme val="minor"/>
    </font>
    <font>
      <b/>
      <u/>
      <sz val="14"/>
      <color rgb="FFC00000"/>
      <name val="Calibri"/>
      <family val="2"/>
      <scheme val="minor"/>
    </font>
    <font>
      <b/>
      <sz val="12"/>
      <color theme="1"/>
      <name val="Calibri"/>
      <family val="2"/>
      <scheme val="minor"/>
    </font>
    <font>
      <sz val="11"/>
      <color rgb="FFC00000"/>
      <name val="Calibri"/>
      <family val="2"/>
      <scheme val="minor"/>
    </font>
    <font>
      <sz val="8"/>
      <name val="Calibri"/>
      <family val="2"/>
      <scheme val="minor"/>
    </font>
    <font>
      <b/>
      <sz val="14"/>
      <color rgb="FFC00000"/>
      <name val="Calibri"/>
      <family val="2"/>
      <scheme val="minor"/>
    </font>
    <font>
      <b/>
      <u/>
      <sz val="16"/>
      <color rgb="FFC00000"/>
      <name val="Calibri"/>
      <family val="2"/>
      <scheme val="minor"/>
    </font>
    <font>
      <b/>
      <sz val="12"/>
      <color theme="9" tint="-0.249977111117893"/>
      <name val="Calibri"/>
      <family val="2"/>
      <scheme val="minor"/>
    </font>
    <font>
      <b/>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30" fillId="0" borderId="0"/>
  </cellStyleXfs>
  <cellXfs count="94">
    <xf numFmtId="0" fontId="0" fillId="0" borderId="0" xfId="0"/>
    <xf numFmtId="0" fontId="16" fillId="0" borderId="0" xfId="0" applyFont="1"/>
    <xf numFmtId="0" fontId="14"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0" fillId="0" borderId="0" xfId="0" applyAlignment="1">
      <alignment horizontal="center"/>
    </xf>
    <xf numFmtId="0" fontId="0" fillId="0" borderId="0" xfId="0" pivotButton="1"/>
    <xf numFmtId="0" fontId="24" fillId="0" borderId="0" xfId="0" applyFont="1"/>
    <xf numFmtId="164" fontId="0" fillId="0" borderId="0" xfId="0" applyNumberFormat="1"/>
    <xf numFmtId="0" fontId="25" fillId="0" borderId="0" xfId="0" applyFont="1"/>
    <xf numFmtId="10" fontId="0" fillId="0" borderId="0" xfId="42" applyNumberFormat="1" applyFont="1"/>
    <xf numFmtId="10" fontId="0" fillId="0" borderId="0" xfId="0" applyNumberFormat="1"/>
    <xf numFmtId="10" fontId="0" fillId="33" borderId="0" xfId="42" applyNumberFormat="1" applyFont="1" applyFill="1"/>
    <xf numFmtId="0" fontId="26" fillId="0" borderId="0" xfId="0" applyFont="1"/>
    <xf numFmtId="2" fontId="0" fillId="0" borderId="0" xfId="0" applyNumberFormat="1"/>
    <xf numFmtId="164" fontId="14" fillId="0" borderId="0" xfId="0" applyNumberFormat="1" applyFont="1"/>
    <xf numFmtId="165" fontId="0" fillId="0" borderId="0" xfId="0" applyNumberFormat="1"/>
    <xf numFmtId="0" fontId="27" fillId="0" borderId="0" xfId="0" applyFont="1"/>
    <xf numFmtId="0" fontId="28" fillId="0" borderId="0" xfId="0" applyFont="1"/>
    <xf numFmtId="17" fontId="0" fillId="0" borderId="0" xfId="0" applyNumberFormat="1"/>
    <xf numFmtId="4" fontId="29" fillId="0" borderId="10" xfId="0" applyNumberFormat="1" applyFont="1" applyBorder="1" applyAlignment="1">
      <alignment horizontal="right" vertical="center"/>
    </xf>
    <xf numFmtId="0" fontId="31" fillId="0" borderId="0" xfId="43" applyFont="1"/>
    <xf numFmtId="0" fontId="29" fillId="0" borderId="0" xfId="0" applyFont="1"/>
    <xf numFmtId="0" fontId="31" fillId="0" borderId="11" xfId="43" applyFont="1" applyBorder="1" applyAlignment="1">
      <alignment vertical="center"/>
    </xf>
    <xf numFmtId="0" fontId="31" fillId="0" borderId="0" xfId="43" applyFont="1" applyAlignment="1">
      <alignment vertical="center"/>
    </xf>
    <xf numFmtId="0" fontId="31" fillId="0" borderId="0" xfId="43" applyFont="1" applyAlignment="1">
      <alignment horizontal="right"/>
    </xf>
    <xf numFmtId="166" fontId="31" fillId="34" borderId="10" xfId="43" applyNumberFormat="1" applyFont="1" applyFill="1" applyBorder="1" applyAlignment="1">
      <alignment horizontal="left" vertical="center"/>
    </xf>
    <xf numFmtId="166" fontId="31" fillId="34" borderId="10" xfId="43" applyNumberFormat="1" applyFont="1" applyFill="1" applyBorder="1" applyAlignment="1">
      <alignment horizontal="right" vertical="center"/>
    </xf>
    <xf numFmtId="166" fontId="31" fillId="0" borderId="10" xfId="43" quotePrefix="1" applyNumberFormat="1" applyFont="1" applyBorder="1" applyAlignment="1">
      <alignment horizontal="left" vertical="center"/>
    </xf>
    <xf numFmtId="4" fontId="34" fillId="0" borderId="10" xfId="0" applyNumberFormat="1" applyFont="1" applyBorder="1" applyAlignment="1">
      <alignment horizontal="right" vertical="center"/>
    </xf>
    <xf numFmtId="49" fontId="34" fillId="0" borderId="10" xfId="0" applyNumberFormat="1" applyFont="1" applyBorder="1" applyAlignment="1">
      <alignment horizontal="right" vertical="center"/>
    </xf>
    <xf numFmtId="0" fontId="29" fillId="0" borderId="0" xfId="0" applyFont="1" applyAlignment="1">
      <alignment vertical="center"/>
    </xf>
    <xf numFmtId="166" fontId="31" fillId="0" borderId="10" xfId="43" applyNumberFormat="1" applyFont="1" applyBorder="1" applyAlignment="1">
      <alignment horizontal="left" vertical="center"/>
    </xf>
    <xf numFmtId="4" fontId="29" fillId="0" borderId="0" xfId="0" applyNumberFormat="1" applyFont="1" applyAlignment="1">
      <alignment vertical="center"/>
    </xf>
    <xf numFmtId="0" fontId="31" fillId="0" borderId="0" xfId="0" applyFont="1" applyAlignment="1">
      <alignment wrapText="1"/>
    </xf>
    <xf numFmtId="0" fontId="35" fillId="0" borderId="0" xfId="0" applyFont="1"/>
    <xf numFmtId="0" fontId="36" fillId="0" borderId="0" xfId="0" applyFont="1"/>
    <xf numFmtId="0" fontId="29" fillId="0" borderId="0" xfId="0" applyFont="1" applyAlignment="1">
      <alignment horizontal="left"/>
    </xf>
    <xf numFmtId="4" fontId="29" fillId="0" borderId="0" xfId="0" applyNumberFormat="1" applyFont="1"/>
    <xf numFmtId="4" fontId="29" fillId="33" borderId="10" xfId="0" applyNumberFormat="1" applyFont="1" applyFill="1" applyBorder="1" applyAlignment="1">
      <alignment horizontal="right" vertical="center"/>
    </xf>
    <xf numFmtId="2" fontId="16" fillId="0" borderId="0" xfId="0" applyNumberFormat="1" applyFont="1"/>
    <xf numFmtId="0" fontId="16" fillId="0" borderId="10" xfId="0" applyFont="1" applyBorder="1"/>
    <xf numFmtId="0" fontId="0" fillId="0" borderId="10" xfId="0" applyBorder="1"/>
    <xf numFmtId="0" fontId="0" fillId="0" borderId="10" xfId="0" applyBorder="1" applyAlignment="1">
      <alignment vertical="center"/>
    </xf>
    <xf numFmtId="10" fontId="0" fillId="0" borderId="10" xfId="42" applyNumberFormat="1" applyFont="1" applyBorder="1"/>
    <xf numFmtId="10" fontId="0" fillId="0" borderId="10" xfId="0" applyNumberFormat="1" applyBorder="1"/>
    <xf numFmtId="10" fontId="16" fillId="0" borderId="10" xfId="42" applyNumberFormat="1" applyFont="1" applyBorder="1"/>
    <xf numFmtId="0" fontId="0" fillId="35" borderId="0" xfId="0" applyFill="1" applyAlignment="1">
      <alignment vertical="center"/>
    </xf>
    <xf numFmtId="0" fontId="28" fillId="35" borderId="0" xfId="0" applyFont="1" applyFill="1" applyAlignment="1">
      <alignment vertical="center"/>
    </xf>
    <xf numFmtId="0" fontId="37" fillId="35" borderId="0" xfId="0" applyFont="1" applyFill="1" applyAlignment="1">
      <alignment vertical="center"/>
    </xf>
    <xf numFmtId="0" fontId="16" fillId="0" borderId="13" xfId="0" applyFont="1" applyBorder="1"/>
    <xf numFmtId="0" fontId="0" fillId="0" borderId="12" xfId="0" applyBorder="1"/>
    <xf numFmtId="10" fontId="0" fillId="0" borderId="12" xfId="42" applyNumberFormat="1" applyFont="1" applyBorder="1"/>
    <xf numFmtId="2" fontId="0" fillId="0" borderId="0" xfId="42" applyNumberFormat="1" applyFont="1"/>
    <xf numFmtId="2" fontId="0" fillId="0" borderId="10" xfId="42" applyNumberFormat="1" applyFont="1" applyBorder="1"/>
    <xf numFmtId="2" fontId="0" fillId="0" borderId="10" xfId="42" applyNumberFormat="1" applyFont="1" applyFill="1" applyBorder="1"/>
    <xf numFmtId="0" fontId="0" fillId="36" borderId="10" xfId="0" applyFill="1" applyBorder="1"/>
    <xf numFmtId="0" fontId="39" fillId="35" borderId="10" xfId="0" applyFont="1" applyFill="1" applyBorder="1"/>
    <xf numFmtId="9" fontId="0" fillId="0" borderId="10" xfId="42" applyFont="1" applyBorder="1"/>
    <xf numFmtId="9" fontId="0" fillId="0" borderId="10" xfId="0" applyNumberFormat="1" applyBorder="1"/>
    <xf numFmtId="165" fontId="0" fillId="0" borderId="10" xfId="42" applyNumberFormat="1" applyFont="1" applyBorder="1"/>
    <xf numFmtId="164" fontId="14" fillId="0" borderId="10" xfId="0" applyNumberFormat="1" applyFont="1" applyBorder="1"/>
    <xf numFmtId="165" fontId="0" fillId="33" borderId="10" xfId="42" applyNumberFormat="1" applyFont="1" applyFill="1" applyBorder="1"/>
    <xf numFmtId="0" fontId="16" fillId="35" borderId="10" xfId="0" applyFont="1" applyFill="1" applyBorder="1"/>
    <xf numFmtId="0" fontId="14" fillId="0" borderId="10" xfId="0" applyFont="1" applyBorder="1"/>
    <xf numFmtId="0" fontId="0" fillId="35" borderId="0" xfId="0" applyFill="1"/>
    <xf numFmtId="0" fontId="42" fillId="35" borderId="0" xfId="0" applyFont="1" applyFill="1"/>
    <xf numFmtId="0" fontId="39" fillId="35" borderId="0" xfId="0" applyFont="1" applyFill="1"/>
    <xf numFmtId="0" fontId="41" fillId="35" borderId="0" xfId="0" applyFont="1" applyFill="1"/>
    <xf numFmtId="0" fontId="39" fillId="0" borderId="0" xfId="0" applyFont="1"/>
    <xf numFmtId="0" fontId="44" fillId="0" borderId="0" xfId="0" applyFont="1"/>
    <xf numFmtId="0" fontId="47" fillId="0" borderId="0" xfId="0" applyFont="1"/>
    <xf numFmtId="49" fontId="0" fillId="0" borderId="0" xfId="0" applyNumberFormat="1"/>
    <xf numFmtId="0" fontId="45" fillId="35" borderId="0" xfId="0" applyFont="1" applyFill="1" applyAlignment="1">
      <alignment horizontal="center"/>
    </xf>
    <xf numFmtId="0" fontId="0" fillId="0" borderId="0" xfId="0" applyAlignment="1">
      <alignment horizontal="center" vertical="center"/>
    </xf>
    <xf numFmtId="0" fontId="39" fillId="35" borderId="10" xfId="0" applyFont="1" applyFill="1" applyBorder="1" applyAlignment="1">
      <alignment horizontal="center"/>
    </xf>
    <xf numFmtId="0" fontId="0" fillId="35" borderId="10" xfId="0" applyFill="1" applyBorder="1" applyAlignment="1">
      <alignment horizontal="center"/>
    </xf>
    <xf numFmtId="10" fontId="24" fillId="35" borderId="10" xfId="42" applyNumberFormat="1" applyFont="1" applyFill="1" applyBorder="1" applyAlignment="1">
      <alignment horizontal="center"/>
    </xf>
    <xf numFmtId="0" fontId="38" fillId="35" borderId="0" xfId="0" applyFont="1" applyFill="1" applyAlignment="1">
      <alignment horizontal="center"/>
    </xf>
    <xf numFmtId="0" fontId="37" fillId="35" borderId="0" xfId="0" applyFont="1" applyFill="1" applyAlignment="1">
      <alignment horizontal="center"/>
    </xf>
    <xf numFmtId="0" fontId="24" fillId="35" borderId="13" xfId="0" applyFont="1" applyFill="1" applyBorder="1" applyAlignment="1">
      <alignment horizontal="center"/>
    </xf>
    <xf numFmtId="0" fontId="14" fillId="35" borderId="14" xfId="0" applyFont="1" applyFill="1" applyBorder="1" applyAlignment="1">
      <alignment horizontal="center"/>
    </xf>
    <xf numFmtId="0" fontId="14" fillId="35" borderId="15" xfId="0" applyFont="1" applyFill="1" applyBorder="1" applyAlignment="1">
      <alignment horizontal="center"/>
    </xf>
    <xf numFmtId="0" fontId="24" fillId="35" borderId="10" xfId="0" applyFont="1" applyFill="1" applyBorder="1" applyAlignment="1">
      <alignment horizontal="center"/>
    </xf>
    <xf numFmtId="0" fontId="32" fillId="0" borderId="0" xfId="0" applyFont="1" applyAlignment="1">
      <alignment horizontal="center" vertical="center"/>
    </xf>
    <xf numFmtId="0" fontId="33" fillId="33" borderId="0" xfId="43" applyFont="1" applyFill="1" applyAlignment="1">
      <alignment horizontal="center" vertical="center"/>
    </xf>
    <xf numFmtId="0" fontId="35" fillId="0" borderId="0" xfId="0" quotePrefix="1" applyFont="1" applyAlignment="1">
      <alignment horizontal="left" vertical="top" wrapText="1"/>
    </xf>
    <xf numFmtId="0" fontId="37" fillId="35" borderId="0" xfId="0" applyFont="1" applyFill="1" applyAlignment="1">
      <alignment horizontal="left"/>
    </xf>
    <xf numFmtId="0" fontId="28" fillId="35" borderId="0" xfId="0" applyFont="1" applyFill="1" applyAlignment="1">
      <alignment horizontal="left"/>
    </xf>
    <xf numFmtId="0" fontId="40" fillId="35" borderId="10" xfId="0" applyFont="1" applyFill="1" applyBorder="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4" xfId="43" xr:uid="{C821A6C4-0175-467A-A5CF-E5680A690C47}"/>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Table Style 1" pivot="0" count="0" xr9:uid="{3E7A1E6F-0DF4-4C8B-94B7-8B4BCD2599BC}"/>
  </tableStyles>
  <colors>
    <mruColors>
      <color rgb="FFC82808"/>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rgbClr val="C00000"/>
                </a:solidFill>
              </a:rPr>
              <a:t>Contribution of broader categories towards CPI (Rural)</a:t>
            </a:r>
          </a:p>
        </c:rich>
      </c:tx>
      <c:layout>
        <c:manualLayout>
          <c:xMode val="edge"/>
          <c:yMode val="edge"/>
          <c:x val="9.2059190471146288E-2"/>
          <c:y val="4.287245444801714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'Problem 1'!$B$6</c:f>
              <c:strCache>
                <c:ptCount val="1"/>
                <c:pt idx="0">
                  <c:v>Values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13-4A6A-A397-918BF81AC1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13-4A6A-A397-918BF81AC1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13-4A6A-A397-918BF81AC1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13-4A6A-A397-918BF81AC1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13-4A6A-A397-918BF81AC1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13-4A6A-A397-918BF81AC110}"/>
              </c:ext>
            </c:extLst>
          </c:dPt>
          <c:dLbls>
            <c:dLbl>
              <c:idx val="0"/>
              <c:layout>
                <c:manualLayout>
                  <c:x val="-8.9730235514282695E-3"/>
                  <c:y val="-0.2034259985990497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13-4A6A-A397-918BF81AC110}"/>
                </c:ext>
              </c:extLst>
            </c:dLbl>
            <c:dLbl>
              <c:idx val="1"/>
              <c:layout>
                <c:manualLayout>
                  <c:x val="-4.4195708720266467E-4"/>
                  <c:y val="1.458718383674709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13-4A6A-A397-918BF81AC110}"/>
                </c:ext>
              </c:extLst>
            </c:dLbl>
            <c:dLbl>
              <c:idx val="2"/>
              <c:layout>
                <c:manualLayout>
                  <c:x val="-1.4036256958911527E-2"/>
                  <c:y val="1.312378155302934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E13-4A6A-A397-918BF81AC110}"/>
                </c:ext>
              </c:extLst>
            </c:dLbl>
            <c:dLbl>
              <c:idx val="3"/>
              <c:layout>
                <c:manualLayout>
                  <c:x val="-1.2509121617645329E-2"/>
                  <c:y val="2.810593209610856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E13-4A6A-A397-918BF81AC110}"/>
                </c:ext>
              </c:extLst>
            </c:dLbl>
            <c:dLbl>
              <c:idx val="4"/>
              <c:layout>
                <c:manualLayout>
                  <c:x val="-1.1156326871697092E-2"/>
                  <c:y val="-2.94634191626368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E13-4A6A-A397-918BF81AC110}"/>
                </c:ext>
              </c:extLst>
            </c:dLbl>
            <c:dLbl>
              <c:idx val="5"/>
              <c:layout>
                <c:manualLayout>
                  <c:x val="4.7039740828360578E-2"/>
                  <c:y val="-3.63546598475833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E13-4A6A-A397-918BF81AC1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1'!$A$7:$A$12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1'!$B$7:$B$12</c:f>
              <c:numCache>
                <c:formatCode>General</c:formatCode>
                <c:ptCount val="6"/>
                <c:pt idx="0">
                  <c:v>2290.6999999999998</c:v>
                </c:pt>
                <c:pt idx="1">
                  <c:v>199.9</c:v>
                </c:pt>
                <c:pt idx="2">
                  <c:v>569.90000000000009</c:v>
                </c:pt>
                <c:pt idx="3">
                  <c:v>537.90000000000009</c:v>
                </c:pt>
                <c:pt idx="4">
                  <c:v>553</c:v>
                </c:pt>
                <c:pt idx="5">
                  <c:v>523</c:v>
                </c:pt>
              </c:numCache>
            </c:numRef>
          </c:val>
          <c:extLst>
            <c:ext xmlns:c16="http://schemas.microsoft.com/office/drawing/2014/chart" uri="{C3380CC4-5D6E-409C-BE32-E72D297353CC}">
              <c16:uniqueId val="{0000000C-5E13-4A6A-A397-918BF81AC110}"/>
            </c:ext>
          </c:extLst>
        </c:ser>
        <c:ser>
          <c:idx val="1"/>
          <c:order val="1"/>
          <c:tx>
            <c:strRef>
              <c:f>'Problem 1'!$C$6</c:f>
              <c:strCache>
                <c:ptCount val="1"/>
                <c:pt idx="0">
                  <c:v>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5E13-4A6A-A397-918BF81AC1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5E13-4A6A-A397-918BF81AC1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5E13-4A6A-A397-918BF81AC1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5E13-4A6A-A397-918BF81AC1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5E13-4A6A-A397-918BF81AC1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5E13-4A6A-A397-918BF81AC1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1'!$A$7:$A$12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1'!$C$7:$C$12</c:f>
              <c:numCache>
                <c:formatCode>0%</c:formatCode>
                <c:ptCount val="6"/>
                <c:pt idx="0">
                  <c:v>0.49005219921273319</c:v>
                </c:pt>
                <c:pt idx="1">
                  <c:v>4.2764846825261001E-2</c:v>
                </c:pt>
                <c:pt idx="2">
                  <c:v>0.12191939072394321</c:v>
                </c:pt>
                <c:pt idx="3">
                  <c:v>0.11507359233270582</c:v>
                </c:pt>
                <c:pt idx="4">
                  <c:v>0.11830395344857095</c:v>
                </c:pt>
                <c:pt idx="5">
                  <c:v>0.11188601745678591</c:v>
                </c:pt>
              </c:numCache>
            </c:numRef>
          </c:val>
          <c:extLst>
            <c:ext xmlns:c16="http://schemas.microsoft.com/office/drawing/2014/chart" uri="{C3380CC4-5D6E-409C-BE32-E72D297353CC}">
              <c16:uniqueId val="{00000019-5E13-4A6A-A397-918BF81AC1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323618638579271"/>
          <c:y val="0.40364450151885523"/>
          <c:w val="0.34511879196918566"/>
          <c:h val="0.555562314367356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rgbClr val="C00000"/>
                </a:solidFill>
              </a:rPr>
              <a:t>Contribution of broader categories towards CPI (Urban )</a:t>
            </a:r>
          </a:p>
        </c:rich>
      </c:tx>
      <c:layout>
        <c:manualLayout>
          <c:xMode val="edge"/>
          <c:yMode val="edge"/>
          <c:x val="0.11819970020677439"/>
          <c:y val="4.301075268817204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'Problem 1'!$G$6</c:f>
              <c:strCache>
                <c:ptCount val="1"/>
                <c:pt idx="0">
                  <c:v>Values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59-4ABE-A6EA-BB3C274401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59-4ABE-A6EA-BB3C274401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59-4ABE-A6EA-BB3C274401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59-4ABE-A6EA-BB3C2744010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F59-4ABE-A6EA-BB3C2744010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F59-4ABE-A6EA-BB3C27440107}"/>
              </c:ext>
            </c:extLst>
          </c:dPt>
          <c:dLbls>
            <c:dLbl>
              <c:idx val="0"/>
              <c:layout>
                <c:manualLayout>
                  <c:x val="1.5048908954100828E-2"/>
                  <c:y val="2.15053763440860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59-4ABE-A6EA-BB3C27440107}"/>
                </c:ext>
              </c:extLst>
            </c:dLbl>
            <c:dLbl>
              <c:idx val="1"/>
              <c:layout>
                <c:manualLayout>
                  <c:x val="0"/>
                  <c:y val="2.688172043010752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F59-4ABE-A6EA-BB3C27440107}"/>
                </c:ext>
              </c:extLst>
            </c:dLbl>
            <c:dLbl>
              <c:idx val="2"/>
              <c:layout>
                <c:manualLayout>
                  <c:x val="-3.7622272385252069E-3"/>
                  <c:y val="2.15053763440858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F59-4ABE-A6EA-BB3C27440107}"/>
                </c:ext>
              </c:extLst>
            </c:dLbl>
            <c:dLbl>
              <c:idx val="3"/>
              <c:layout>
                <c:manualLayout>
                  <c:x val="0"/>
                  <c:y val="3.225806451612893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F59-4ABE-A6EA-BB3C27440107}"/>
                </c:ext>
              </c:extLst>
            </c:dLbl>
            <c:dLbl>
              <c:idx val="4"/>
              <c:layout>
                <c:manualLayout>
                  <c:x val="-2.2573363431151242E-2"/>
                  <c:y val="1.075268817204301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F59-4ABE-A6EA-BB3C27440107}"/>
                </c:ext>
              </c:extLst>
            </c:dLbl>
            <c:dLbl>
              <c:idx val="5"/>
              <c:layout>
                <c:manualLayout>
                  <c:x val="3.7622272385252072E-2"/>
                  <c:y val="-2.688172043010755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F59-4ABE-A6EA-BB3C274401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1'!$F$7:$F$12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1'!$G$7:$G$12</c:f>
              <c:numCache>
                <c:formatCode>General</c:formatCode>
                <c:ptCount val="6"/>
                <c:pt idx="0">
                  <c:v>2335.1</c:v>
                </c:pt>
                <c:pt idx="1">
                  <c:v>204.2</c:v>
                </c:pt>
                <c:pt idx="2">
                  <c:v>528.70000000000005</c:v>
                </c:pt>
                <c:pt idx="3">
                  <c:v>529.1</c:v>
                </c:pt>
                <c:pt idx="4">
                  <c:v>542.59999999999991</c:v>
                </c:pt>
                <c:pt idx="5">
                  <c:v>501.20000000000005</c:v>
                </c:pt>
              </c:numCache>
            </c:numRef>
          </c:val>
          <c:extLst>
            <c:ext xmlns:c16="http://schemas.microsoft.com/office/drawing/2014/chart" uri="{C3380CC4-5D6E-409C-BE32-E72D297353CC}">
              <c16:uniqueId val="{0000000C-6F59-4ABE-A6EA-BB3C27440107}"/>
            </c:ext>
          </c:extLst>
        </c:ser>
        <c:ser>
          <c:idx val="1"/>
          <c:order val="1"/>
          <c:tx>
            <c:strRef>
              <c:f>'Problem 1'!$H$6</c:f>
              <c:strCache>
                <c:ptCount val="1"/>
                <c:pt idx="0">
                  <c:v>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6F59-4ABE-A6EA-BB3C274401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6F59-4ABE-A6EA-BB3C274401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6F59-4ABE-A6EA-BB3C274401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6F59-4ABE-A6EA-BB3C2744010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6F59-4ABE-A6EA-BB3C2744010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6F59-4ABE-A6EA-BB3C27440107}"/>
              </c:ext>
            </c:extLst>
          </c:dPt>
          <c:cat>
            <c:strRef>
              <c:f>'Problem 1'!$F$7:$F$12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1'!$H$7:$H$12</c:f>
              <c:numCache>
                <c:formatCode>0%</c:formatCode>
                <c:ptCount val="6"/>
                <c:pt idx="0">
                  <c:v>0.50315671529229244</c:v>
                </c:pt>
                <c:pt idx="1">
                  <c:v>4.4000086190178631E-2</c:v>
                </c:pt>
                <c:pt idx="2">
                  <c:v>0.1139218686030727</c:v>
                </c:pt>
                <c:pt idx="3">
                  <c:v>0.11400805878170184</c:v>
                </c:pt>
                <c:pt idx="4">
                  <c:v>0.11691697731043546</c:v>
                </c:pt>
                <c:pt idx="5">
                  <c:v>0.10799629382231897</c:v>
                </c:pt>
              </c:numCache>
            </c:numRef>
          </c:val>
          <c:extLst>
            <c:ext xmlns:c16="http://schemas.microsoft.com/office/drawing/2014/chart" uri="{C3380CC4-5D6E-409C-BE32-E72D297353CC}">
              <c16:uniqueId val="{00000019-6F59-4ABE-A6EA-BB3C2744010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459240214020862"/>
          <c:y val="0.41243026439876834"/>
          <c:w val="0.34273186089834007"/>
          <c:h val="0.55075236807520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Contribution</a:t>
            </a:r>
            <a:r>
              <a:rPr lang="en-US" baseline="0">
                <a:solidFill>
                  <a:srgbClr val="C00000"/>
                </a:solidFill>
              </a:rPr>
              <a:t> of broader categories towards CPI (Rural + Urban)</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'Problem 1'!$L$6</c:f>
              <c:strCache>
                <c:ptCount val="1"/>
                <c:pt idx="0">
                  <c:v>Values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61-4F91-A52A-3E8E3D3CA7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61-4F91-A52A-3E8E3D3CA7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61-4F91-A52A-3E8E3D3CA7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61-4F91-A52A-3E8E3D3CA7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61-4F91-A52A-3E8E3D3CA7A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61-4F91-A52A-3E8E3D3CA7A8}"/>
              </c:ext>
            </c:extLst>
          </c:dPt>
          <c:dLbls>
            <c:dLbl>
              <c:idx val="0"/>
              <c:layout>
                <c:manualLayout>
                  <c:x val="1.5255530129672006E-2"/>
                  <c:y val="-9.7776648253593543E-1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61-4F91-A52A-3E8E3D3CA7A8}"/>
                </c:ext>
              </c:extLst>
            </c:dLbl>
            <c:dLbl>
              <c:idx val="1"/>
              <c:layout>
                <c:manualLayout>
                  <c:x val="3.8138825324179667E-3"/>
                  <c:y val="2.133333333333333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61-4F91-A52A-3E8E3D3CA7A8}"/>
                </c:ext>
              </c:extLst>
            </c:dLbl>
            <c:dLbl>
              <c:idx val="2"/>
              <c:layout>
                <c:manualLayout>
                  <c:x val="-3.8138825324180014E-3"/>
                  <c:y val="3.20000000000000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561-4F91-A52A-3E8E3D3CA7A8}"/>
                </c:ext>
              </c:extLst>
            </c:dLbl>
            <c:dLbl>
              <c:idx val="3"/>
              <c:layout>
                <c:manualLayout>
                  <c:x val="0"/>
                  <c:y val="3.733333333333323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561-4F91-A52A-3E8E3D3CA7A8}"/>
                </c:ext>
              </c:extLst>
            </c:dLbl>
            <c:dLbl>
              <c:idx val="4"/>
              <c:layout>
                <c:manualLayout>
                  <c:x val="-4.3700232521807756E-18"/>
                  <c:y val="-3.733333333333328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561-4F91-A52A-3E8E3D3CA7A8}"/>
                </c:ext>
              </c:extLst>
            </c:dLbl>
            <c:dLbl>
              <c:idx val="5"/>
              <c:layout>
                <c:manualLayout>
                  <c:x val="1.5255530129672006E-2"/>
                  <c:y val="-3.733333333333333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561-4F91-A52A-3E8E3D3CA7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1'!$K$7:$K$12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1'!$L$7:$L$12</c:f>
              <c:numCache>
                <c:formatCode>General</c:formatCode>
                <c:ptCount val="6"/>
                <c:pt idx="0">
                  <c:v>2306.9</c:v>
                </c:pt>
                <c:pt idx="1">
                  <c:v>201</c:v>
                </c:pt>
                <c:pt idx="2">
                  <c:v>553.20000000000005</c:v>
                </c:pt>
                <c:pt idx="3">
                  <c:v>533.59999999999991</c:v>
                </c:pt>
                <c:pt idx="4">
                  <c:v>548</c:v>
                </c:pt>
                <c:pt idx="5">
                  <c:v>511.7</c:v>
                </c:pt>
              </c:numCache>
            </c:numRef>
          </c:val>
          <c:extLst>
            <c:ext xmlns:c16="http://schemas.microsoft.com/office/drawing/2014/chart" uri="{C3380CC4-5D6E-409C-BE32-E72D297353CC}">
              <c16:uniqueId val="{0000000C-2561-4F91-A52A-3E8E3D3CA7A8}"/>
            </c:ext>
          </c:extLst>
        </c:ser>
        <c:ser>
          <c:idx val="1"/>
          <c:order val="1"/>
          <c:tx>
            <c:strRef>
              <c:f>'Problem 1'!$M$6</c:f>
              <c:strCache>
                <c:ptCount val="1"/>
                <c:pt idx="0">
                  <c:v>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2561-4F91-A52A-3E8E3D3CA7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2561-4F91-A52A-3E8E3D3CA7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2561-4F91-A52A-3E8E3D3CA7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2561-4F91-A52A-3E8E3D3CA7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2561-4F91-A52A-3E8E3D3CA7A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2561-4F91-A52A-3E8E3D3CA7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1'!$K$7:$K$12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1'!$M$7:$M$12</c:f>
              <c:numCache>
                <c:formatCode>0%</c:formatCode>
                <c:ptCount val="6"/>
                <c:pt idx="0">
                  <c:v>0.49563853557923682</c:v>
                </c:pt>
                <c:pt idx="1">
                  <c:v>4.3184943279477479E-2</c:v>
                </c:pt>
                <c:pt idx="2">
                  <c:v>0.11885527672739772</c:v>
                </c:pt>
                <c:pt idx="3">
                  <c:v>0.11464420763148846</c:v>
                </c:pt>
                <c:pt idx="4">
                  <c:v>0.1177380543141973</c:v>
                </c:pt>
                <c:pt idx="5">
                  <c:v>0.10993898246820212</c:v>
                </c:pt>
              </c:numCache>
            </c:numRef>
          </c:val>
          <c:extLst>
            <c:ext xmlns:c16="http://schemas.microsoft.com/office/drawing/2014/chart" uri="{C3380CC4-5D6E-409C-BE32-E72D297353CC}">
              <c16:uniqueId val="{00000019-2561-4F91-A52A-3E8E3D3CA7A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679965004374466"/>
          <c:y val="0.42960301837270348"/>
          <c:w val="0.29653368328958879"/>
          <c:h val="0.51621026538349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lotArea>
      <c:layout>
        <c:manualLayout>
          <c:layoutTarget val="inner"/>
          <c:xMode val="edge"/>
          <c:yMode val="edge"/>
          <c:x val="9.2323542740610651E-2"/>
          <c:y val="0.17200980392156862"/>
          <c:w val="0.87470283615627187"/>
          <c:h val="0.70446927589933617"/>
        </c:manualLayout>
      </c:layout>
      <c:lineChart>
        <c:grouping val="standard"/>
        <c:varyColors val="0"/>
        <c:ser>
          <c:idx val="0"/>
          <c:order val="0"/>
          <c:tx>
            <c:strRef>
              <c:f>'Problem 2'!$E$3</c:f>
              <c:strCache>
                <c:ptCount val="1"/>
                <c:pt idx="0">
                  <c:v>YOY % change</c:v>
                </c:pt>
              </c:strCache>
            </c:strRef>
          </c:tx>
          <c:spPr>
            <a:ln w="28575" cap="rnd">
              <a:solidFill>
                <a:srgbClr val="C00000"/>
              </a:solidFill>
              <a:round/>
            </a:ln>
            <a:effectLst/>
          </c:spPr>
          <c:marker>
            <c:symbol val="none"/>
          </c:marker>
          <c:dLbls>
            <c:dLbl>
              <c:idx val="1"/>
              <c:layout>
                <c:manualLayout>
                  <c:x val="-8.4561070491188606E-2"/>
                  <c:y val="-7.50000895181418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A5-423B-98A8-F34BA2EE1BE0}"/>
                </c:ext>
              </c:extLst>
            </c:dLbl>
            <c:dLbl>
              <c:idx val="2"/>
              <c:layout>
                <c:manualLayout>
                  <c:x val="-6.0751546681664791E-2"/>
                  <c:y val="-5.6810003115231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A5-423B-98A8-F34BA2EE1BE0}"/>
                </c:ext>
              </c:extLst>
            </c:dLbl>
            <c:dLbl>
              <c:idx val="3"/>
              <c:layout>
                <c:manualLayout>
                  <c:x val="-5.7775356205474374E-2"/>
                  <c:y val="-0.138665391928328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A5-423B-98A8-F34BA2EE1BE0}"/>
                </c:ext>
              </c:extLst>
            </c:dLbl>
            <c:dLbl>
              <c:idx val="4"/>
              <c:layout>
                <c:manualLayout>
                  <c:x val="-6.9680118110236222E-2"/>
                  <c:y val="-9.77376975217797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A5-423B-98A8-F34BA2EE1BE0}"/>
                </c:ext>
              </c:extLst>
            </c:dLbl>
            <c:dLbl>
              <c:idx val="5"/>
              <c:layout>
                <c:manualLayout>
                  <c:x val="-5.1822975253093366E-2"/>
                  <c:y val="-0.125022827126145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A5-423B-98A8-F34BA2EE1BE0}"/>
                </c:ext>
              </c:extLst>
            </c:dLbl>
            <c:dLbl>
              <c:idx val="6"/>
              <c:layout>
                <c:manualLayout>
                  <c:x val="-4.2894403824521934E-2"/>
                  <c:y val="-9.77376975217797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A5-423B-98A8-F34BA2EE1BE0}"/>
                </c:ext>
              </c:extLst>
            </c:dLbl>
            <c:dLbl>
              <c:idx val="7"/>
              <c:layout>
                <c:manualLayout>
                  <c:x val="-3.3965832395950503E-2"/>
                  <c:y val="-8.40951327195969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A5-423B-98A8-F34BA2EE1B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'Problem 2'!$B$4:$B$11</c:f>
              <c:numCache>
                <c:formatCode>General</c:formatCode>
                <c:ptCount val="8"/>
                <c:pt idx="0">
                  <c:v>2016</c:v>
                </c:pt>
                <c:pt idx="1">
                  <c:v>2017</c:v>
                </c:pt>
                <c:pt idx="2">
                  <c:v>2018</c:v>
                </c:pt>
                <c:pt idx="3">
                  <c:v>2019</c:v>
                </c:pt>
                <c:pt idx="4">
                  <c:v>2020</c:v>
                </c:pt>
                <c:pt idx="5">
                  <c:v>2021</c:v>
                </c:pt>
                <c:pt idx="6">
                  <c:v>2022</c:v>
                </c:pt>
                <c:pt idx="7">
                  <c:v>2023</c:v>
                </c:pt>
              </c:numCache>
            </c:numRef>
          </c:cat>
          <c:val>
            <c:numRef>
              <c:f>'Problem 2'!$E$4:$E$11</c:f>
              <c:numCache>
                <c:formatCode>0.0%</c:formatCode>
                <c:ptCount val="8"/>
                <c:pt idx="1">
                  <c:v>2.1772939346811911E-2</c:v>
                </c:pt>
                <c:pt idx="2">
                  <c:v>4.8706240487062444E-2</c:v>
                </c:pt>
                <c:pt idx="3">
                  <c:v>3.0478955007256808E-2</c:v>
                </c:pt>
                <c:pt idx="4">
                  <c:v>6.3497652582159711E-2</c:v>
                </c:pt>
                <c:pt idx="5">
                  <c:v>6.2134422249199815E-2</c:v>
                </c:pt>
                <c:pt idx="6">
                  <c:v>7.0448877805486171E-2</c:v>
                </c:pt>
                <c:pt idx="7">
                  <c:v>4.3098427489807842E-2</c:v>
                </c:pt>
              </c:numCache>
            </c:numRef>
          </c:val>
          <c:smooth val="0"/>
          <c:extLst>
            <c:ext xmlns:c16="http://schemas.microsoft.com/office/drawing/2014/chart" uri="{C3380CC4-5D6E-409C-BE32-E72D297353CC}">
              <c16:uniqueId val="{00000007-02A5-423B-98A8-F34BA2EE1BE0}"/>
            </c:ext>
          </c:extLst>
        </c:ser>
        <c:dLbls>
          <c:dLblPos val="t"/>
          <c:showLegendKey val="0"/>
          <c:showVal val="1"/>
          <c:showCatName val="0"/>
          <c:showSerName val="0"/>
          <c:showPercent val="0"/>
          <c:showBubbleSize val="0"/>
        </c:dLbls>
        <c:smooth val="0"/>
        <c:axId val="1294317872"/>
        <c:axId val="1294315472"/>
      </c:lineChart>
      <c:catAx>
        <c:axId val="129431787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alpha val="95000"/>
                  </a:schemeClr>
                </a:solidFill>
                <a:latin typeface="+mn-lt"/>
                <a:ea typeface="+mn-ea"/>
                <a:cs typeface="+mn-cs"/>
              </a:defRPr>
            </a:pPr>
            <a:endParaRPr lang="en-US"/>
          </a:p>
        </c:txPr>
        <c:crossAx val="1294315472"/>
        <c:crosses val="autoZero"/>
        <c:auto val="1"/>
        <c:lblAlgn val="ctr"/>
        <c:lblOffset val="100"/>
        <c:noMultiLvlLbl val="0"/>
      </c:catAx>
      <c:valAx>
        <c:axId val="12943154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alpha val="95000"/>
                  </a:schemeClr>
                </a:solidFill>
                <a:latin typeface="+mn-lt"/>
                <a:ea typeface="+mn-ea"/>
                <a:cs typeface="+mn-cs"/>
              </a:defRPr>
            </a:pPr>
            <a:endParaRPr lang="en-US"/>
          </a:p>
        </c:txPr>
        <c:crossAx val="1294317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IN">
                <a:solidFill>
                  <a:srgbClr val="C00000"/>
                </a:solidFill>
              </a:rPr>
              <a:t>Category</a:t>
            </a:r>
            <a:r>
              <a:rPr lang="en-IN" baseline="0">
                <a:solidFill>
                  <a:srgbClr val="C00000"/>
                </a:solidFill>
              </a:rPr>
              <a:t> wise Inflation %</a:t>
            </a:r>
            <a:endParaRPr lang="en-IN">
              <a:solidFill>
                <a:srgbClr val="C00000"/>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IN"/>
        </a:p>
      </c:txPr>
    </c:title>
    <c:autoTitleDeleted val="0"/>
    <c:plotArea>
      <c:layout>
        <c:manualLayout>
          <c:layoutTarget val="inner"/>
          <c:xMode val="edge"/>
          <c:yMode val="edge"/>
          <c:x val="0.1070297143513995"/>
          <c:y val="0.12008609543276116"/>
          <c:w val="0.88962248025798507"/>
          <c:h val="0.78483844498024469"/>
        </c:manualLayout>
      </c:layout>
      <c:barChart>
        <c:barDir val="col"/>
        <c:grouping val="clustered"/>
        <c:varyColors val="0"/>
        <c:ser>
          <c:idx val="0"/>
          <c:order val="0"/>
          <c:spPr>
            <a:solidFill>
              <a:srgbClr val="C00000"/>
            </a:solidFill>
            <a:ln w="19050">
              <a:solidFill>
                <a:schemeClr val="lt1"/>
              </a:solidFill>
            </a:ln>
            <a:effectLst/>
          </c:spPr>
          <c:invertIfNegative val="0"/>
          <c:cat>
            <c:strRef>
              <c:f>'Problem 2'!$D$22:$AC$22</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Persol care and effects</c:v>
                </c:pt>
                <c:pt idx="22">
                  <c:v>Education</c:v>
                </c:pt>
                <c:pt idx="23">
                  <c:v>Recreation and amusement</c:v>
                </c:pt>
                <c:pt idx="24">
                  <c:v>Transport and communication</c:v>
                </c:pt>
                <c:pt idx="25">
                  <c:v>Miscellaneous</c:v>
                </c:pt>
              </c:strCache>
            </c:strRef>
          </c:cat>
          <c:val>
            <c:numRef>
              <c:f>'Problem 2'!$D$36:$AC$36</c:f>
              <c:numCache>
                <c:formatCode>0.0%</c:formatCode>
                <c:ptCount val="26"/>
                <c:pt idx="0">
                  <c:v>0.13177257525083605</c:v>
                </c:pt>
                <c:pt idx="1">
                  <c:v>5.1836940110719737E-2</c:v>
                </c:pt>
                <c:pt idx="2">
                  <c:v>6.3758389261744833E-2</c:v>
                </c:pt>
                <c:pt idx="3">
                  <c:v>8.161993769470402E-2</c:v>
                </c:pt>
                <c:pt idx="4">
                  <c:v>2.0573903627504123E-2</c:v>
                </c:pt>
                <c:pt idx="5">
                  <c:v>2.7976577748861493E-2</c:v>
                </c:pt>
                <c:pt idx="6">
                  <c:v>-8.2616179001721204E-2</c:v>
                </c:pt>
                <c:pt idx="7">
                  <c:v>4.2098840756558911E-2</c:v>
                </c:pt>
                <c:pt idx="8">
                  <c:v>1.4999999999999977E-2</c:v>
                </c:pt>
                <c:pt idx="9">
                  <c:v>0.1923300406740267</c:v>
                </c:pt>
                <c:pt idx="10">
                  <c:v>4.0779062690200783E-2</c:v>
                </c:pt>
                <c:pt idx="11">
                  <c:v>7.3322053017484484E-2</c:v>
                </c:pt>
                <c:pt idx="12">
                  <c:v>5.7091346153846152E-2</c:v>
                </c:pt>
                <c:pt idx="13">
                  <c:v>2.6534859521332065E-2</c:v>
                </c:pt>
                <c:pt idx="14">
                  <c:v>8.2989994114184784E-2</c:v>
                </c:pt>
                <c:pt idx="15">
                  <c:v>0.10143123833229628</c:v>
                </c:pt>
                <c:pt idx="16">
                  <c:v>8.6053412462908013E-2</c:v>
                </c:pt>
                <c:pt idx="17">
                  <c:v>3.7689969604863149E-2</c:v>
                </c:pt>
                <c:pt idx="18">
                  <c:v>0.1084043848964678</c:v>
                </c:pt>
                <c:pt idx="19">
                  <c:v>6.8280571073867161E-2</c:v>
                </c:pt>
                <c:pt idx="20">
                  <c:v>5.6592765460910084E-2</c:v>
                </c:pt>
                <c:pt idx="21">
                  <c:v>7.8527607361963264E-2</c:v>
                </c:pt>
                <c:pt idx="22">
                  <c:v>5.7073466909532522E-2</c:v>
                </c:pt>
                <c:pt idx="23">
                  <c:v>4.7766749379652716E-2</c:v>
                </c:pt>
                <c:pt idx="24">
                  <c:v>4.408945686900962E-2</c:v>
                </c:pt>
                <c:pt idx="25">
                  <c:v>5.716041794714205E-2</c:v>
                </c:pt>
              </c:numCache>
            </c:numRef>
          </c:val>
          <c:extLst>
            <c:ext xmlns:c16="http://schemas.microsoft.com/office/drawing/2014/chart" uri="{C3380CC4-5D6E-409C-BE32-E72D297353CC}">
              <c16:uniqueId val="{00000000-1833-4D54-8DC9-A8226834A483}"/>
            </c:ext>
          </c:extLst>
        </c:ser>
        <c:dLbls>
          <c:showLegendKey val="0"/>
          <c:showVal val="0"/>
          <c:showCatName val="0"/>
          <c:showSerName val="0"/>
          <c:showPercent val="0"/>
          <c:showBubbleSize val="0"/>
        </c:dLbls>
        <c:gapWidth val="150"/>
        <c:axId val="1294279952"/>
        <c:axId val="1294282352"/>
      </c:barChart>
      <c:valAx>
        <c:axId val="1294282352"/>
        <c:scaling>
          <c:orientation val="minMax"/>
        </c:scaling>
        <c:delete val="0"/>
        <c:axPos val="l"/>
        <c:majorGridlines>
          <c:spPr>
            <a:ln w="9525" cap="flat" cmpd="sng" algn="ctr">
              <a:no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4279952"/>
        <c:crosses val="autoZero"/>
        <c:crossBetween val="between"/>
      </c:valAx>
      <c:catAx>
        <c:axId val="1294279952"/>
        <c:scaling>
          <c:orientation val="minMax"/>
        </c:scaling>
        <c:delete val="0"/>
        <c:axPos val="b"/>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4282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rgbClr val="C00000"/>
                </a:solidFill>
                <a:latin typeface="Calibri" panose="020F0502020204030204"/>
              </a:rPr>
              <a:t>MOM% Change</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579154878367478E-2"/>
          <c:y val="0.17763409961685825"/>
          <c:w val="0.87737082107160846"/>
          <c:h val="0.76968390804597697"/>
        </c:manualLayout>
      </c:layout>
      <c:lineChart>
        <c:grouping val="standard"/>
        <c:varyColors val="0"/>
        <c:ser>
          <c:idx val="0"/>
          <c:order val="0"/>
          <c:tx>
            <c:strRef>
              <c:f>'Problem 3'!$G$4:$G$5</c:f>
              <c:strCache>
                <c:ptCount val="2"/>
                <c:pt idx="0">
                  <c:v>Inflation</c:v>
                </c:pt>
                <c:pt idx="1">
                  <c:v>        -</c:v>
                </c:pt>
              </c:strCache>
            </c:strRef>
          </c:tx>
          <c:spPr>
            <a:ln w="28575" cap="rnd">
              <a:solidFill>
                <a:srgbClr val="C82808"/>
              </a:solidFill>
              <a:round/>
            </a:ln>
            <a:effectLst/>
          </c:spPr>
          <c:marker>
            <c:symbol val="none"/>
          </c:marker>
          <c:dLbls>
            <c:dLbl>
              <c:idx val="0"/>
              <c:layout>
                <c:manualLayout>
                  <c:x val="-2.7120315581854067E-2"/>
                  <c:y val="-8.196721311475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A0-47A2-BF1C-534BEE92DD9C}"/>
                </c:ext>
              </c:extLst>
            </c:dLbl>
            <c:dLbl>
              <c:idx val="1"/>
              <c:layout>
                <c:manualLayout>
                  <c:x val="-2.2189349112426059E-2"/>
                  <c:y val="-9.5628415300546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A0-47A2-BF1C-534BEE92DD9C}"/>
                </c:ext>
              </c:extLst>
            </c:dLbl>
            <c:dLbl>
              <c:idx val="2"/>
              <c:layout>
                <c:manualLayout>
                  <c:x val="2.465483234714004E-2"/>
                  <c:y val="-1.8214936247723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A0-47A2-BF1C-534BEE92DD9C}"/>
                </c:ext>
              </c:extLst>
            </c:dLbl>
            <c:dLbl>
              <c:idx val="3"/>
              <c:layout>
                <c:manualLayout>
                  <c:x val="-4.9309664694280081E-2"/>
                  <c:y val="-0.12750455373406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A0-47A2-BF1C-534BEE92DD9C}"/>
                </c:ext>
              </c:extLst>
            </c:dLbl>
            <c:dLbl>
              <c:idx val="4"/>
              <c:layout>
                <c:manualLayout>
                  <c:x val="3.4516765285996058E-2"/>
                  <c:y val="-1.36612021857923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A0-47A2-BF1C-534BEE92DD9C}"/>
                </c:ext>
              </c:extLst>
            </c:dLbl>
            <c:dLbl>
              <c:idx val="5"/>
              <c:layout>
                <c:manualLayout>
                  <c:x val="-9.861932938856106E-3"/>
                  <c:y val="-0.127504553734062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A0-47A2-BF1C-534BEE92DD9C}"/>
                </c:ext>
              </c:extLst>
            </c:dLbl>
            <c:dLbl>
              <c:idx val="7"/>
              <c:layout>
                <c:manualLayout>
                  <c:x val="-2.9585798816568139E-2"/>
                  <c:y val="-8.6520947176684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A0-47A2-BF1C-534BEE92DD9C}"/>
                </c:ext>
              </c:extLst>
            </c:dLbl>
            <c:dLbl>
              <c:idx val="9"/>
              <c:layout>
                <c:manualLayout>
                  <c:x val="-9.6153846153846159E-2"/>
                  <c:y val="-0.12295081967213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A0-47A2-BF1C-534BEE92DD9C}"/>
                </c:ext>
              </c:extLst>
            </c:dLbl>
            <c:dLbl>
              <c:idx val="10"/>
              <c:layout>
                <c:manualLayout>
                  <c:x val="0"/>
                  <c:y val="7.2859744990892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A0-47A2-BF1C-534BEE92DD9C}"/>
                </c:ext>
              </c:extLst>
            </c:dLbl>
            <c:dLbl>
              <c:idx val="11"/>
              <c:layout>
                <c:manualLayout>
                  <c:x val="-7.3964497041420114E-3"/>
                  <c:y val="-0.10928961748633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A0-47A2-BF1C-534BEE92DD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3'!$B$6:$B$17</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'Problem 3'!$G$6:$G$17</c:f>
              <c:numCache>
                <c:formatCode>0.00%</c:formatCode>
                <c:ptCount val="12"/>
                <c:pt idx="0">
                  <c:v>1.0374708304225577E-2</c:v>
                </c:pt>
                <c:pt idx="1">
                  <c:v>1.8682789767125508E-3</c:v>
                </c:pt>
                <c:pt idx="2">
                  <c:v>1.2187243040056653E-3</c:v>
                </c:pt>
                <c:pt idx="3">
                  <c:v>5.3382609588338752E-3</c:v>
                </c:pt>
                <c:pt idx="4">
                  <c:v>7.1479628305932807E-3</c:v>
                </c:pt>
                <c:pt idx="5">
                  <c:v>-7.5317564925199919E-4</c:v>
                </c:pt>
                <c:pt idx="6">
                  <c:v>-6.1748974474192071E-3</c:v>
                </c:pt>
                <c:pt idx="7">
                  <c:v>4.3463675743478395E-3</c:v>
                </c:pt>
                <c:pt idx="8">
                  <c:v>-5.5328850873500634E-3</c:v>
                </c:pt>
                <c:pt idx="9">
                  <c:v>5.8411214953350726E-5</c:v>
                </c:pt>
                <c:pt idx="10">
                  <c:v>4.8332457216284626E-3</c:v>
                </c:pt>
                <c:pt idx="11">
                  <c:v>7.4402383201337971E-3</c:v>
                </c:pt>
              </c:numCache>
            </c:numRef>
          </c:val>
          <c:smooth val="0"/>
          <c:extLst>
            <c:ext xmlns:c16="http://schemas.microsoft.com/office/drawing/2014/chart" uri="{C3380CC4-5D6E-409C-BE32-E72D297353CC}">
              <c16:uniqueId val="{0000000A-19A0-47A2-BF1C-534BEE92DD9C}"/>
            </c:ext>
          </c:extLst>
        </c:ser>
        <c:dLbls>
          <c:showLegendKey val="0"/>
          <c:showVal val="1"/>
          <c:showCatName val="0"/>
          <c:showSerName val="0"/>
          <c:showPercent val="0"/>
          <c:showBubbleSize val="0"/>
        </c:dLbls>
        <c:smooth val="0"/>
        <c:axId val="872772351"/>
        <c:axId val="872768991"/>
      </c:lineChart>
      <c:catAx>
        <c:axId val="87277235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baseline="0">
                <a:solidFill>
                  <a:schemeClr val="tx1"/>
                </a:solidFill>
                <a:latin typeface="+mn-lt"/>
                <a:ea typeface="+mn-ea"/>
                <a:cs typeface="+mn-cs"/>
              </a:defRPr>
            </a:pPr>
            <a:endParaRPr lang="en-US"/>
          </a:p>
        </c:txPr>
        <c:crossAx val="872768991"/>
        <c:crosses val="autoZero"/>
        <c:auto val="1"/>
        <c:lblAlgn val="ctr"/>
        <c:lblOffset val="100"/>
        <c:noMultiLvlLbl val="0"/>
      </c:catAx>
      <c:valAx>
        <c:axId val="872768991"/>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solidFill>
                <a:latin typeface="+mn-lt"/>
                <a:ea typeface="+mn-ea"/>
                <a:cs typeface="+mn-cs"/>
              </a:defRPr>
            </a:pPr>
            <a:endParaRPr lang="en-US"/>
          </a:p>
        </c:txPr>
        <c:crossAx val="87277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00000"/>
                </a:solidFill>
              </a:rPr>
              <a:t>Category</a:t>
            </a:r>
            <a:r>
              <a:rPr lang="en-IN" baseline="0">
                <a:solidFill>
                  <a:srgbClr val="C00000"/>
                </a:solidFill>
              </a:rPr>
              <a:t> wise Contribution</a:t>
            </a:r>
            <a:endParaRPr lang="en-IN">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01-4038-8614-E52F3A4813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01-4038-8614-E52F3A4813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01-4038-8614-E52F3A4813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01-4038-8614-E52F3A4813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01-4038-8614-E52F3A4813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101-4038-8614-E52F3A4813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101-4038-8614-E52F3A4813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101-4038-8614-E52F3A4813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101-4038-8614-E52F3A4813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101-4038-8614-E52F3A48139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101-4038-8614-E52F3A48139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101-4038-8614-E52F3A48139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101-4038-8614-E52F3A481394}"/>
              </c:ext>
            </c:extLst>
          </c:dPt>
          <c:dLbls>
            <c:dLbl>
              <c:idx val="0"/>
              <c:layout>
                <c:manualLayout>
                  <c:x val="-1.139096675415573E-2"/>
                  <c:y val="-1.24941673957421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01-4038-8614-E52F3A481394}"/>
                </c:ext>
              </c:extLst>
            </c:dLbl>
            <c:dLbl>
              <c:idx val="1"/>
              <c:layout>
                <c:manualLayout>
                  <c:x val="2.9343832020997376E-3"/>
                  <c:y val="-4.32502187226596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01-4038-8614-E52F3A481394}"/>
                </c:ext>
              </c:extLst>
            </c:dLbl>
            <c:dLbl>
              <c:idx val="2"/>
              <c:layout>
                <c:manualLayout>
                  <c:x val="2.4109361329833771E-2"/>
                  <c:y val="2.49752114319043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01-4038-8614-E52F3A481394}"/>
                </c:ext>
              </c:extLst>
            </c:dLbl>
            <c:dLbl>
              <c:idx val="3"/>
              <c:layout>
                <c:manualLayout>
                  <c:x val="2.3151356080489939E-2"/>
                  <c:y val="3.063721201516477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01-4038-8614-E52F3A481394}"/>
                </c:ext>
              </c:extLst>
            </c:dLbl>
            <c:dLbl>
              <c:idx val="4"/>
              <c:layout>
                <c:manualLayout>
                  <c:x val="-9.6152668416447946E-3"/>
                  <c:y val="5.38232720909886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101-4038-8614-E52F3A481394}"/>
                </c:ext>
              </c:extLst>
            </c:dLbl>
            <c:dLbl>
              <c:idx val="5"/>
              <c:layout>
                <c:manualLayout>
                  <c:x val="-2.7290573053368329E-2"/>
                  <c:y val="2.84554534849810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101-4038-8614-E52F3A481394}"/>
                </c:ext>
              </c:extLst>
            </c:dLbl>
            <c:dLbl>
              <c:idx val="6"/>
              <c:layout>
                <c:manualLayout>
                  <c:x val="-2.3342082239720036E-3"/>
                  <c:y val="2.86468358121901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101-4038-8614-E52F3A481394}"/>
                </c:ext>
              </c:extLst>
            </c:dLbl>
            <c:dLbl>
              <c:idx val="7"/>
              <c:layout>
                <c:manualLayout>
                  <c:x val="-1.8866688538932634E-2"/>
                  <c:y val="3.17122338874307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101-4038-8614-E52F3A481394}"/>
                </c:ext>
              </c:extLst>
            </c:dLbl>
            <c:dLbl>
              <c:idx val="8"/>
              <c:layout>
                <c:manualLayout>
                  <c:x val="-3.9183180227471567E-2"/>
                  <c:y val="-2.22357101195683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101-4038-8614-E52F3A481394}"/>
                </c:ext>
              </c:extLst>
            </c:dLbl>
            <c:dLbl>
              <c:idx val="9"/>
              <c:layout>
                <c:manualLayout>
                  <c:x val="3.6718066491688507E-3"/>
                  <c:y val="5.002551764362788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101-4038-8614-E52F3A481394}"/>
                </c:ext>
              </c:extLst>
            </c:dLbl>
            <c:dLbl>
              <c:idx val="10"/>
              <c:layout>
                <c:manualLayout>
                  <c:x val="-2.8706583552055992E-2"/>
                  <c:y val="2.51017060367454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101-4038-8614-E52F3A481394}"/>
                </c:ext>
              </c:extLst>
            </c:dLbl>
            <c:dLbl>
              <c:idx val="11"/>
              <c:layout>
                <c:manualLayout>
                  <c:x val="-8.9060586176727911E-3"/>
                  <c:y val="-9.367526975794692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101-4038-8614-E52F3A481394}"/>
                </c:ext>
              </c:extLst>
            </c:dLbl>
            <c:dLbl>
              <c:idx val="12"/>
              <c:layout>
                <c:manualLayout>
                  <c:x val="2.4530511811023621E-2"/>
                  <c:y val="-2.59561825605132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101-4038-8614-E52F3A4813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3'!$E$23:$Q$23</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pt idx="12">
                  <c:v>Food and beverages</c:v>
                </c:pt>
              </c:strCache>
            </c:strRef>
          </c:cat>
          <c:val>
            <c:numRef>
              <c:f>'Problem 3'!$E$36:$Q$36</c:f>
              <c:numCache>
                <c:formatCode>0.00%</c:formatCode>
                <c:ptCount val="13"/>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pt idx="12">
                  <c:v>2.4013722126929607E-2</c:v>
                </c:pt>
              </c:numCache>
            </c:numRef>
          </c:val>
          <c:extLst>
            <c:ext xmlns:c16="http://schemas.microsoft.com/office/drawing/2014/chart" uri="{C3380CC4-5D6E-409C-BE32-E72D297353CC}">
              <c16:uniqueId val="{0000001A-C101-4038-8614-E52F3A48139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418919510061246"/>
          <c:y val="0.40645487022455534"/>
          <c:w val="0.33914413823272094"/>
          <c:h val="0.53935841353164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00000"/>
                </a:solidFill>
              </a:rPr>
              <a:t>Impact</a:t>
            </a:r>
            <a:r>
              <a:rPr lang="en-IN" baseline="0">
                <a:solidFill>
                  <a:srgbClr val="C00000"/>
                </a:solidFill>
              </a:rPr>
              <a:t> of COVID-19 on Inflation</a:t>
            </a:r>
            <a:r>
              <a:rPr lang="en-IN">
                <a:solidFill>
                  <a:srgbClr val="C00000"/>
                </a:solidFill>
              </a:rPr>
              <a:t> for Rural areas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extLst>
                <c:ext xmlns:c15="http://schemas.microsoft.com/office/drawing/2012/chart" uri="{02D57815-91ED-43cb-92C2-25804820EDAC}">
                  <c15:fullRef>
                    <c15:sqref>'Problem 4'!$T$5:$T$6</c15:sqref>
                  </c15:fullRef>
                  <c15:levelRef>
                    <c15:sqref>'Problem 4'!$T$6</c15:sqref>
                  </c15:levelRef>
                </c:ext>
              </c:extLst>
              <c:f>'Problem 4'!$T$6</c:f>
              <c:strCache>
                <c:ptCount val="2"/>
                <c:pt idx="0">
                  <c:v>Inflation % for Rural areas</c:v>
                </c:pt>
                <c:pt idx="1">
                  <c:v>Health</c:v>
                </c:pt>
              </c:strCache>
            </c:strRef>
          </c:tx>
          <c:spPr>
            <a:solidFill>
              <a:schemeClr val="accent1"/>
            </a:solidFill>
            <a:ln>
              <a:noFill/>
            </a:ln>
            <a:effectLst/>
          </c:spPr>
          <c:invertIfNegative val="0"/>
          <c:cat>
            <c:numRef>
              <c:f>'Problem 4'!$S$7:$S$12</c:f>
              <c:numCache>
                <c:formatCode>General</c:formatCode>
                <c:ptCount val="6"/>
                <c:pt idx="0">
                  <c:v>2018</c:v>
                </c:pt>
                <c:pt idx="1">
                  <c:v>2019</c:v>
                </c:pt>
                <c:pt idx="2">
                  <c:v>2020</c:v>
                </c:pt>
                <c:pt idx="3">
                  <c:v>2021</c:v>
                </c:pt>
                <c:pt idx="4">
                  <c:v>2022</c:v>
                </c:pt>
                <c:pt idx="5">
                  <c:v>2023</c:v>
                </c:pt>
              </c:numCache>
            </c:numRef>
          </c:cat>
          <c:val>
            <c:numRef>
              <c:f>'Problem 4'!$T$7:$T$12</c:f>
              <c:numCache>
                <c:formatCode>0.00%</c:formatCode>
                <c:ptCount val="6"/>
                <c:pt idx="0">
                  <c:v>4.6707503828483876E-2</c:v>
                </c:pt>
                <c:pt idx="1">
                  <c:v>0.10021945866861755</c:v>
                </c:pt>
                <c:pt idx="2">
                  <c:v>4.1888297872340309E-2</c:v>
                </c:pt>
                <c:pt idx="3">
                  <c:v>5.0414805360561622E-2</c:v>
                </c:pt>
                <c:pt idx="4">
                  <c:v>6.9258809234507931E-2</c:v>
                </c:pt>
                <c:pt idx="5">
                  <c:v>6.0227272727272692E-2</c:v>
                </c:pt>
              </c:numCache>
            </c:numRef>
          </c:val>
          <c:extLst>
            <c:ext xmlns:c16="http://schemas.microsoft.com/office/drawing/2014/chart" uri="{C3380CC4-5D6E-409C-BE32-E72D297353CC}">
              <c16:uniqueId val="{00000000-B8D0-4BEA-9B8E-2E3D2BB2C070}"/>
            </c:ext>
          </c:extLst>
        </c:ser>
        <c:ser>
          <c:idx val="1"/>
          <c:order val="1"/>
          <c:tx>
            <c:strRef>
              <c:extLst>
                <c:ext xmlns:c15="http://schemas.microsoft.com/office/drawing/2012/chart" uri="{02D57815-91ED-43cb-92C2-25804820EDAC}">
                  <c15:fullRef>
                    <c15:sqref>'Problem 4'!$U$5:$U$6</c15:sqref>
                  </c15:fullRef>
                  <c15:levelRef>
                    <c15:sqref>'Problem 4'!$U$6</c15:sqref>
                  </c15:levelRef>
                </c:ext>
              </c:extLst>
              <c:f>'Problem 4'!$U$6</c:f>
              <c:strCache>
                <c:ptCount val="2"/>
                <c:pt idx="0">
                  <c:v>Inflation % for Rural areas</c:v>
                </c:pt>
                <c:pt idx="1">
                  <c:v>Food and Beverages</c:v>
                </c:pt>
              </c:strCache>
            </c:strRef>
          </c:tx>
          <c:spPr>
            <a:solidFill>
              <a:schemeClr val="accent2"/>
            </a:solidFill>
            <a:ln>
              <a:noFill/>
            </a:ln>
            <a:effectLst/>
          </c:spPr>
          <c:invertIfNegative val="0"/>
          <c:cat>
            <c:numRef>
              <c:f>'Problem 4'!$S$7:$S$12</c:f>
              <c:numCache>
                <c:formatCode>General</c:formatCode>
                <c:ptCount val="6"/>
                <c:pt idx="0">
                  <c:v>2018</c:v>
                </c:pt>
                <c:pt idx="1">
                  <c:v>2019</c:v>
                </c:pt>
                <c:pt idx="2">
                  <c:v>2020</c:v>
                </c:pt>
                <c:pt idx="3">
                  <c:v>2021</c:v>
                </c:pt>
                <c:pt idx="4">
                  <c:v>2022</c:v>
                </c:pt>
                <c:pt idx="5">
                  <c:v>2023</c:v>
                </c:pt>
              </c:numCache>
            </c:numRef>
          </c:cat>
          <c:val>
            <c:numRef>
              <c:f>'Problem 4'!$U$7:$U$12</c:f>
              <c:numCache>
                <c:formatCode>0.00%</c:formatCode>
                <c:ptCount val="6"/>
                <c:pt idx="0">
                  <c:v>3.0951692218686454E-2</c:v>
                </c:pt>
                <c:pt idx="1">
                  <c:v>-1.1672278338944726E-2</c:v>
                </c:pt>
                <c:pt idx="2">
                  <c:v>7.5743811037928335E-2</c:v>
                </c:pt>
                <c:pt idx="3">
                  <c:v>6.919666420352602E-2</c:v>
                </c:pt>
                <c:pt idx="4">
                  <c:v>7.5726909216567273E-2</c:v>
                </c:pt>
                <c:pt idx="5">
                  <c:v>3.9787068055619206E-2</c:v>
                </c:pt>
              </c:numCache>
            </c:numRef>
          </c:val>
          <c:extLst>
            <c:ext xmlns:c16="http://schemas.microsoft.com/office/drawing/2014/chart" uri="{C3380CC4-5D6E-409C-BE32-E72D297353CC}">
              <c16:uniqueId val="{00000001-B8D0-4BEA-9B8E-2E3D2BB2C070}"/>
            </c:ext>
          </c:extLst>
        </c:ser>
        <c:ser>
          <c:idx val="2"/>
          <c:order val="2"/>
          <c:tx>
            <c:strRef>
              <c:extLst>
                <c:ext xmlns:c15="http://schemas.microsoft.com/office/drawing/2012/chart" uri="{02D57815-91ED-43cb-92C2-25804820EDAC}">
                  <c15:fullRef>
                    <c15:sqref>'Problem 4'!$V$5:$V$6</c15:sqref>
                  </c15:fullRef>
                  <c15:levelRef>
                    <c15:sqref>'Problem 4'!$V$6</c15:sqref>
                  </c15:levelRef>
                </c:ext>
              </c:extLst>
              <c:f>'Problem 4'!$V$6</c:f>
              <c:strCache>
                <c:ptCount val="2"/>
                <c:pt idx="0">
                  <c:v>Inflation % for Rural areas</c:v>
                </c:pt>
                <c:pt idx="1">
                  <c:v>Essential Services</c:v>
                </c:pt>
              </c:strCache>
            </c:strRef>
          </c:tx>
          <c:spPr>
            <a:solidFill>
              <a:schemeClr val="accent3"/>
            </a:solidFill>
            <a:ln>
              <a:noFill/>
            </a:ln>
            <a:effectLst/>
          </c:spPr>
          <c:invertIfNegative val="0"/>
          <c:cat>
            <c:numRef>
              <c:f>'Problem 4'!$S$7:$S$12</c:f>
              <c:numCache>
                <c:formatCode>General</c:formatCode>
                <c:ptCount val="6"/>
                <c:pt idx="0">
                  <c:v>2018</c:v>
                </c:pt>
                <c:pt idx="1">
                  <c:v>2019</c:v>
                </c:pt>
                <c:pt idx="2">
                  <c:v>2020</c:v>
                </c:pt>
                <c:pt idx="3">
                  <c:v>2021</c:v>
                </c:pt>
                <c:pt idx="4">
                  <c:v>2022</c:v>
                </c:pt>
                <c:pt idx="5">
                  <c:v>2023</c:v>
                </c:pt>
              </c:numCache>
            </c:numRef>
          </c:cat>
          <c:val>
            <c:numRef>
              <c:f>'Problem 4'!$V$7:$V$12</c:f>
              <c:numCache>
                <c:formatCode>0.00%</c:formatCode>
                <c:ptCount val="6"/>
                <c:pt idx="0">
                  <c:v>4.6604527296937419E-2</c:v>
                </c:pt>
                <c:pt idx="1">
                  <c:v>5.8778625954198534E-2</c:v>
                </c:pt>
                <c:pt idx="2">
                  <c:v>4.686373467916366E-2</c:v>
                </c:pt>
                <c:pt idx="3">
                  <c:v>7.0707070707070732E-2</c:v>
                </c:pt>
                <c:pt idx="4">
                  <c:v>6.5394511149228132E-2</c:v>
                </c:pt>
                <c:pt idx="5">
                  <c:v>4.5884483799557271E-2</c:v>
                </c:pt>
              </c:numCache>
            </c:numRef>
          </c:val>
          <c:extLst>
            <c:ext xmlns:c16="http://schemas.microsoft.com/office/drawing/2014/chart" uri="{C3380CC4-5D6E-409C-BE32-E72D297353CC}">
              <c16:uniqueId val="{00000002-B8D0-4BEA-9B8E-2E3D2BB2C070}"/>
            </c:ext>
          </c:extLst>
        </c:ser>
        <c:dLbls>
          <c:showLegendKey val="0"/>
          <c:showVal val="0"/>
          <c:showCatName val="0"/>
          <c:showSerName val="0"/>
          <c:showPercent val="0"/>
          <c:showBubbleSize val="0"/>
        </c:dLbls>
        <c:gapWidth val="219"/>
        <c:overlap val="-27"/>
        <c:axId val="88879728"/>
        <c:axId val="88875888"/>
      </c:barChart>
      <c:catAx>
        <c:axId val="8887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5888"/>
        <c:crosses val="autoZero"/>
        <c:auto val="1"/>
        <c:lblAlgn val="ctr"/>
        <c:lblOffset val="100"/>
        <c:noMultiLvlLbl val="0"/>
      </c:catAx>
      <c:valAx>
        <c:axId val="88875888"/>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9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C00000"/>
                </a:solidFill>
              </a:rPr>
              <a:t>Impact of COVID-19 on Inflation </a:t>
            </a:r>
            <a:r>
              <a:rPr lang="en-IN" sz="1400">
                <a:solidFill>
                  <a:srgbClr val="C00000"/>
                </a:solidFill>
              </a:rPr>
              <a:t>for Urban areas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03679915795147"/>
          <c:y val="0.23780721482564462"/>
          <c:w val="0.84584377636143715"/>
          <c:h val="0.52489082382811236"/>
        </c:manualLayout>
      </c:layout>
      <c:barChart>
        <c:barDir val="col"/>
        <c:grouping val="clustered"/>
        <c:varyColors val="0"/>
        <c:ser>
          <c:idx val="0"/>
          <c:order val="0"/>
          <c:tx>
            <c:strRef>
              <c:extLst>
                <c:ext xmlns:c15="http://schemas.microsoft.com/office/drawing/2012/chart" uri="{02D57815-91ED-43cb-92C2-25804820EDAC}">
                  <c15:fullRef>
                    <c15:sqref>'Problem 4'!$T$18:$T$19</c15:sqref>
                  </c15:fullRef>
                  <c15:levelRef>
                    <c15:sqref>'Problem 4'!$T$19</c15:sqref>
                  </c15:levelRef>
                </c:ext>
              </c:extLst>
              <c:f>'Problem 4'!$T$19</c:f>
              <c:strCache>
                <c:ptCount val="2"/>
                <c:pt idx="0">
                  <c:v>Inflation % for Urban areas</c:v>
                </c:pt>
                <c:pt idx="1">
                  <c:v>Health</c:v>
                </c:pt>
              </c:strCache>
            </c:strRef>
          </c:tx>
          <c:spPr>
            <a:solidFill>
              <a:schemeClr val="accent1"/>
            </a:solidFill>
            <a:ln>
              <a:noFill/>
            </a:ln>
            <a:effectLst/>
          </c:spPr>
          <c:invertIfNegative val="0"/>
          <c:cat>
            <c:numRef>
              <c:f>'Problem 4'!$S$20:$S$25</c:f>
              <c:numCache>
                <c:formatCode>General</c:formatCode>
                <c:ptCount val="6"/>
                <c:pt idx="0">
                  <c:v>2018</c:v>
                </c:pt>
                <c:pt idx="1">
                  <c:v>2019</c:v>
                </c:pt>
                <c:pt idx="2">
                  <c:v>2020</c:v>
                </c:pt>
                <c:pt idx="3">
                  <c:v>2021</c:v>
                </c:pt>
                <c:pt idx="4">
                  <c:v>2022</c:v>
                </c:pt>
                <c:pt idx="5">
                  <c:v>2023</c:v>
                </c:pt>
              </c:numCache>
            </c:numRef>
          </c:cat>
          <c:val>
            <c:numRef>
              <c:f>'Problem 4'!$T$20:$T$25</c:f>
              <c:numCache>
                <c:formatCode>0.00%</c:formatCode>
                <c:ptCount val="6"/>
                <c:pt idx="0">
                  <c:v>6.0113728675873321E-2</c:v>
                </c:pt>
                <c:pt idx="1">
                  <c:v>6.6666666666666582E-2</c:v>
                </c:pt>
                <c:pt idx="2">
                  <c:v>4.1666666666666755E-2</c:v>
                </c:pt>
                <c:pt idx="3">
                  <c:v>8.2068965517241424E-2</c:v>
                </c:pt>
                <c:pt idx="4">
                  <c:v>7.2020395156150302E-2</c:v>
                </c:pt>
                <c:pt idx="5">
                  <c:v>7.4910820451843191E-2</c:v>
                </c:pt>
              </c:numCache>
            </c:numRef>
          </c:val>
          <c:extLst>
            <c:ext xmlns:c16="http://schemas.microsoft.com/office/drawing/2014/chart" uri="{C3380CC4-5D6E-409C-BE32-E72D297353CC}">
              <c16:uniqueId val="{00000000-B090-46BE-9F7C-32BAB0F3AA60}"/>
            </c:ext>
          </c:extLst>
        </c:ser>
        <c:ser>
          <c:idx val="1"/>
          <c:order val="1"/>
          <c:tx>
            <c:strRef>
              <c:extLst>
                <c:ext xmlns:c15="http://schemas.microsoft.com/office/drawing/2012/chart" uri="{02D57815-91ED-43cb-92C2-25804820EDAC}">
                  <c15:fullRef>
                    <c15:sqref>'Problem 4'!$U$18:$U$19</c15:sqref>
                  </c15:fullRef>
                  <c15:levelRef>
                    <c15:sqref>'Problem 4'!$U$19</c15:sqref>
                  </c15:levelRef>
                </c:ext>
              </c:extLst>
              <c:f>'Problem 4'!$U$19</c:f>
              <c:strCache>
                <c:ptCount val="2"/>
                <c:pt idx="0">
                  <c:v>Inflation % for Urban areas</c:v>
                </c:pt>
                <c:pt idx="1">
                  <c:v>Food and Beverages</c:v>
                </c:pt>
              </c:strCache>
            </c:strRef>
          </c:tx>
          <c:spPr>
            <a:solidFill>
              <a:schemeClr val="accent2"/>
            </a:solidFill>
            <a:ln>
              <a:noFill/>
            </a:ln>
            <a:effectLst/>
          </c:spPr>
          <c:invertIfNegative val="0"/>
          <c:cat>
            <c:numRef>
              <c:f>'Problem 4'!$S$20:$S$25</c:f>
              <c:numCache>
                <c:formatCode>General</c:formatCode>
                <c:ptCount val="6"/>
                <c:pt idx="0">
                  <c:v>2018</c:v>
                </c:pt>
                <c:pt idx="1">
                  <c:v>2019</c:v>
                </c:pt>
                <c:pt idx="2">
                  <c:v>2020</c:v>
                </c:pt>
                <c:pt idx="3">
                  <c:v>2021</c:v>
                </c:pt>
                <c:pt idx="4">
                  <c:v>2022</c:v>
                </c:pt>
                <c:pt idx="5">
                  <c:v>2023</c:v>
                </c:pt>
              </c:numCache>
            </c:numRef>
          </c:cat>
          <c:val>
            <c:numRef>
              <c:f>'Problem 4'!$U$20:$U$25</c:f>
              <c:numCache>
                <c:formatCode>0.00%</c:formatCode>
                <c:ptCount val="6"/>
                <c:pt idx="0">
                  <c:v>5.7454417541186508E-3</c:v>
                </c:pt>
                <c:pt idx="1">
                  <c:v>3.0836490819003259E-2</c:v>
                </c:pt>
                <c:pt idx="2">
                  <c:v>7.3569328206288115E-2</c:v>
                </c:pt>
                <c:pt idx="3">
                  <c:v>8.7437450618909424E-2</c:v>
                </c:pt>
                <c:pt idx="4">
                  <c:v>6.3841123758779691E-2</c:v>
                </c:pt>
                <c:pt idx="5">
                  <c:v>4.8763830077858172E-2</c:v>
                </c:pt>
              </c:numCache>
            </c:numRef>
          </c:val>
          <c:extLst>
            <c:ext xmlns:c16="http://schemas.microsoft.com/office/drawing/2014/chart" uri="{C3380CC4-5D6E-409C-BE32-E72D297353CC}">
              <c16:uniqueId val="{00000001-B090-46BE-9F7C-32BAB0F3AA60}"/>
            </c:ext>
          </c:extLst>
        </c:ser>
        <c:ser>
          <c:idx val="2"/>
          <c:order val="2"/>
          <c:tx>
            <c:strRef>
              <c:extLst>
                <c:ext xmlns:c15="http://schemas.microsoft.com/office/drawing/2012/chart" uri="{02D57815-91ED-43cb-92C2-25804820EDAC}">
                  <c15:fullRef>
                    <c15:sqref>'Problem 4'!$V$18:$V$19</c15:sqref>
                  </c15:fullRef>
                  <c15:levelRef>
                    <c15:sqref>'Problem 4'!$V$19</c15:sqref>
                  </c15:levelRef>
                </c:ext>
              </c:extLst>
              <c:f>'Problem 4'!$V$19</c:f>
              <c:strCache>
                <c:ptCount val="2"/>
                <c:pt idx="0">
                  <c:v>Inflation % for Urban areas</c:v>
                </c:pt>
                <c:pt idx="1">
                  <c:v>Essential Services</c:v>
                </c:pt>
              </c:strCache>
            </c:strRef>
          </c:tx>
          <c:spPr>
            <a:solidFill>
              <a:schemeClr val="accent3"/>
            </a:solidFill>
            <a:ln>
              <a:noFill/>
            </a:ln>
            <a:effectLst/>
          </c:spPr>
          <c:invertIfNegative val="0"/>
          <c:cat>
            <c:numRef>
              <c:f>'Problem 4'!$S$20:$S$25</c:f>
              <c:numCache>
                <c:formatCode>General</c:formatCode>
                <c:ptCount val="6"/>
                <c:pt idx="0">
                  <c:v>2018</c:v>
                </c:pt>
                <c:pt idx="1">
                  <c:v>2019</c:v>
                </c:pt>
                <c:pt idx="2">
                  <c:v>2020</c:v>
                </c:pt>
                <c:pt idx="3">
                  <c:v>2021</c:v>
                </c:pt>
                <c:pt idx="4">
                  <c:v>2022</c:v>
                </c:pt>
                <c:pt idx="5">
                  <c:v>2023</c:v>
                </c:pt>
              </c:numCache>
            </c:numRef>
          </c:cat>
          <c:val>
            <c:numRef>
              <c:f>'Problem 4'!$V$20:$V$25</c:f>
              <c:numCache>
                <c:formatCode>0.00%</c:formatCode>
                <c:ptCount val="6"/>
                <c:pt idx="0">
                  <c:v>3.0782029950083098E-2</c:v>
                </c:pt>
                <c:pt idx="1">
                  <c:v>3.7664783427495449E-2</c:v>
                </c:pt>
                <c:pt idx="2">
                  <c:v>4.0186673580502832E-2</c:v>
                </c:pt>
                <c:pt idx="3">
                  <c:v>9.7457627118643989E-2</c:v>
                </c:pt>
                <c:pt idx="4">
                  <c:v>8.0172609584374457E-2</c:v>
                </c:pt>
                <c:pt idx="5">
                  <c:v>4.7518923465096764E-2</c:v>
                </c:pt>
              </c:numCache>
            </c:numRef>
          </c:val>
          <c:extLst>
            <c:ext xmlns:c16="http://schemas.microsoft.com/office/drawing/2014/chart" uri="{C3380CC4-5D6E-409C-BE32-E72D297353CC}">
              <c16:uniqueId val="{00000002-B090-46BE-9F7C-32BAB0F3AA60}"/>
            </c:ext>
          </c:extLst>
        </c:ser>
        <c:dLbls>
          <c:showLegendKey val="0"/>
          <c:showVal val="0"/>
          <c:showCatName val="0"/>
          <c:showSerName val="0"/>
          <c:showPercent val="0"/>
          <c:showBubbleSize val="0"/>
        </c:dLbls>
        <c:gapWidth val="219"/>
        <c:overlap val="-27"/>
        <c:axId val="319652560"/>
        <c:axId val="319653520"/>
      </c:barChart>
      <c:catAx>
        <c:axId val="3196525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53520"/>
        <c:crosses val="autoZero"/>
        <c:auto val="1"/>
        <c:lblAlgn val="ctr"/>
        <c:lblOffset val="100"/>
        <c:noMultiLvlLbl val="0"/>
      </c:catAx>
      <c:valAx>
        <c:axId val="31965352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5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C00000"/>
                </a:solidFill>
              </a:rPr>
              <a:t>Impact of COVID-19 on Inflation </a:t>
            </a:r>
            <a:r>
              <a:rPr lang="en-IN" sz="1400">
                <a:solidFill>
                  <a:srgbClr val="C00000"/>
                </a:solidFill>
              </a:rPr>
              <a:t>for Urban+Rural areas</a:t>
            </a:r>
            <a:endParaRPr lang="en-IN" sz="1800">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extLst>
                <c:ext xmlns:c15="http://schemas.microsoft.com/office/drawing/2012/chart" uri="{02D57815-91ED-43cb-92C2-25804820EDAC}">
                  <c15:fullRef>
                    <c15:sqref>'Problem 4'!$T$30:$T$31</c15:sqref>
                  </c15:fullRef>
                  <c15:levelRef>
                    <c15:sqref>'Problem 4'!$T$31</c15:sqref>
                  </c15:levelRef>
                </c:ext>
              </c:extLst>
              <c:f>'Problem 4'!$T$31</c:f>
              <c:strCache>
                <c:ptCount val="2"/>
                <c:pt idx="0">
                  <c:v>Inflation % for Urban+Rural areas</c:v>
                </c:pt>
                <c:pt idx="1">
                  <c:v>Health</c:v>
                </c:pt>
              </c:strCache>
            </c:strRef>
          </c:tx>
          <c:spPr>
            <a:solidFill>
              <a:schemeClr val="accent1"/>
            </a:solidFill>
            <a:ln>
              <a:noFill/>
            </a:ln>
            <a:effectLst/>
          </c:spPr>
          <c:invertIfNegative val="0"/>
          <c:cat>
            <c:numRef>
              <c:f>'Problem 4'!$S$32:$S$37</c:f>
              <c:numCache>
                <c:formatCode>General</c:formatCode>
                <c:ptCount val="6"/>
                <c:pt idx="0">
                  <c:v>2018</c:v>
                </c:pt>
                <c:pt idx="1">
                  <c:v>2019</c:v>
                </c:pt>
                <c:pt idx="2">
                  <c:v>2020</c:v>
                </c:pt>
                <c:pt idx="3">
                  <c:v>2021</c:v>
                </c:pt>
                <c:pt idx="4">
                  <c:v>2022</c:v>
                </c:pt>
                <c:pt idx="5">
                  <c:v>2023</c:v>
                </c:pt>
              </c:numCache>
            </c:numRef>
          </c:cat>
          <c:val>
            <c:numRef>
              <c:f>'Problem 4'!$T$32:$T$37</c:f>
              <c:numCache>
                <c:formatCode>0.00%</c:formatCode>
                <c:ptCount val="6"/>
                <c:pt idx="0">
                  <c:v>5.0860719874804491E-2</c:v>
                </c:pt>
                <c:pt idx="1">
                  <c:v>8.8607594936708681E-2</c:v>
                </c:pt>
                <c:pt idx="2">
                  <c:v>4.1723666210670474E-2</c:v>
                </c:pt>
                <c:pt idx="3">
                  <c:v>6.1720288903479817E-2</c:v>
                </c:pt>
                <c:pt idx="4">
                  <c:v>6.9882498453927105E-2</c:v>
                </c:pt>
                <c:pt idx="5">
                  <c:v>6.589595375722547E-2</c:v>
                </c:pt>
              </c:numCache>
            </c:numRef>
          </c:val>
          <c:extLst>
            <c:ext xmlns:c16="http://schemas.microsoft.com/office/drawing/2014/chart" uri="{C3380CC4-5D6E-409C-BE32-E72D297353CC}">
              <c16:uniqueId val="{00000000-2F8A-44DA-8E53-5C1CDAA4F908}"/>
            </c:ext>
          </c:extLst>
        </c:ser>
        <c:ser>
          <c:idx val="1"/>
          <c:order val="1"/>
          <c:tx>
            <c:strRef>
              <c:extLst>
                <c:ext xmlns:c15="http://schemas.microsoft.com/office/drawing/2012/chart" uri="{02D57815-91ED-43cb-92C2-25804820EDAC}">
                  <c15:fullRef>
                    <c15:sqref>'Problem 4'!$U$30:$U$31</c15:sqref>
                  </c15:fullRef>
                  <c15:levelRef>
                    <c15:sqref>'Problem 4'!$U$31</c15:sqref>
                  </c15:levelRef>
                </c:ext>
              </c:extLst>
              <c:f>'Problem 4'!$U$31</c:f>
              <c:strCache>
                <c:ptCount val="2"/>
                <c:pt idx="0">
                  <c:v>Inflation % for Urban+Rural areas</c:v>
                </c:pt>
                <c:pt idx="1">
                  <c:v>Food and Beverages</c:v>
                </c:pt>
              </c:strCache>
            </c:strRef>
          </c:tx>
          <c:spPr>
            <a:solidFill>
              <a:schemeClr val="accent2"/>
            </a:solidFill>
            <a:ln>
              <a:noFill/>
            </a:ln>
            <a:effectLst/>
          </c:spPr>
          <c:invertIfNegative val="0"/>
          <c:cat>
            <c:numRef>
              <c:f>'Problem 4'!$S$32:$S$37</c:f>
              <c:numCache>
                <c:formatCode>General</c:formatCode>
                <c:ptCount val="6"/>
                <c:pt idx="0">
                  <c:v>2018</c:v>
                </c:pt>
                <c:pt idx="1">
                  <c:v>2019</c:v>
                </c:pt>
                <c:pt idx="2">
                  <c:v>2020</c:v>
                </c:pt>
                <c:pt idx="3">
                  <c:v>2021</c:v>
                </c:pt>
                <c:pt idx="4">
                  <c:v>2022</c:v>
                </c:pt>
                <c:pt idx="5">
                  <c:v>2023</c:v>
                </c:pt>
              </c:numCache>
            </c:numRef>
          </c:cat>
          <c:val>
            <c:numRef>
              <c:f>'Problem 4'!$U$32:$U$37</c:f>
              <c:numCache>
                <c:formatCode>0.00%</c:formatCode>
                <c:ptCount val="6"/>
                <c:pt idx="0">
                  <c:v>2.1583570888358779E-2</c:v>
                </c:pt>
                <c:pt idx="1">
                  <c:v>3.929384965831487E-3</c:v>
                </c:pt>
                <c:pt idx="2">
                  <c:v>7.516024731975722E-2</c:v>
                </c:pt>
                <c:pt idx="3">
                  <c:v>7.5973409306742512E-2</c:v>
                </c:pt>
                <c:pt idx="4">
                  <c:v>7.1001274884770232E-2</c:v>
                </c:pt>
                <c:pt idx="5">
                  <c:v>4.3494185514146841E-2</c:v>
                </c:pt>
              </c:numCache>
            </c:numRef>
          </c:val>
          <c:extLst>
            <c:ext xmlns:c16="http://schemas.microsoft.com/office/drawing/2014/chart" uri="{C3380CC4-5D6E-409C-BE32-E72D297353CC}">
              <c16:uniqueId val="{00000001-2F8A-44DA-8E53-5C1CDAA4F908}"/>
            </c:ext>
          </c:extLst>
        </c:ser>
        <c:ser>
          <c:idx val="2"/>
          <c:order val="2"/>
          <c:tx>
            <c:strRef>
              <c:extLst>
                <c:ext xmlns:c15="http://schemas.microsoft.com/office/drawing/2012/chart" uri="{02D57815-91ED-43cb-92C2-25804820EDAC}">
                  <c15:fullRef>
                    <c15:sqref>'Problem 4'!$V$30:$V$31</c15:sqref>
                  </c15:fullRef>
                  <c15:levelRef>
                    <c15:sqref>'Problem 4'!$V$31</c15:sqref>
                  </c15:levelRef>
                </c:ext>
              </c:extLst>
              <c:f>'Problem 4'!$V$31</c:f>
              <c:strCache>
                <c:ptCount val="2"/>
                <c:pt idx="0">
                  <c:v>Inflation % for Urban+Rural areas</c:v>
                </c:pt>
                <c:pt idx="1">
                  <c:v>Essential Services</c:v>
                </c:pt>
              </c:strCache>
            </c:strRef>
          </c:tx>
          <c:spPr>
            <a:solidFill>
              <a:schemeClr val="accent3"/>
            </a:solidFill>
            <a:ln>
              <a:noFill/>
            </a:ln>
            <a:effectLst/>
          </c:spPr>
          <c:invertIfNegative val="0"/>
          <c:cat>
            <c:numRef>
              <c:f>'Problem 4'!$S$32:$S$37</c:f>
              <c:numCache>
                <c:formatCode>General</c:formatCode>
                <c:ptCount val="6"/>
                <c:pt idx="0">
                  <c:v>2018</c:v>
                </c:pt>
                <c:pt idx="1">
                  <c:v>2019</c:v>
                </c:pt>
                <c:pt idx="2">
                  <c:v>2020</c:v>
                </c:pt>
                <c:pt idx="3">
                  <c:v>2021</c:v>
                </c:pt>
                <c:pt idx="4">
                  <c:v>2022</c:v>
                </c:pt>
                <c:pt idx="5">
                  <c:v>2023</c:v>
                </c:pt>
              </c:numCache>
            </c:numRef>
          </c:cat>
          <c:val>
            <c:numRef>
              <c:f>'Problem 4'!$V$32:$V$37</c:f>
              <c:numCache>
                <c:formatCode>0.00%</c:formatCode>
                <c:ptCount val="6"/>
                <c:pt idx="0">
                  <c:v>3.8074517269513344E-2</c:v>
                </c:pt>
                <c:pt idx="1">
                  <c:v>4.7943411055802715E-2</c:v>
                </c:pt>
                <c:pt idx="2">
                  <c:v>4.3500000000000233E-2</c:v>
                </c:pt>
                <c:pt idx="3">
                  <c:v>8.4331576425490967E-2</c:v>
                </c:pt>
                <c:pt idx="4">
                  <c:v>7.3353954927088169E-2</c:v>
                </c:pt>
                <c:pt idx="5">
                  <c:v>4.6932894195141933E-2</c:v>
                </c:pt>
              </c:numCache>
            </c:numRef>
          </c:val>
          <c:extLst>
            <c:ext xmlns:c16="http://schemas.microsoft.com/office/drawing/2014/chart" uri="{C3380CC4-5D6E-409C-BE32-E72D297353CC}">
              <c16:uniqueId val="{00000002-2F8A-44DA-8E53-5C1CDAA4F908}"/>
            </c:ext>
          </c:extLst>
        </c:ser>
        <c:dLbls>
          <c:showLegendKey val="0"/>
          <c:showVal val="0"/>
          <c:showCatName val="0"/>
          <c:showSerName val="0"/>
          <c:showPercent val="0"/>
          <c:showBubbleSize val="0"/>
        </c:dLbls>
        <c:gapWidth val="219"/>
        <c:overlap val="-27"/>
        <c:axId val="319603120"/>
        <c:axId val="319603600"/>
      </c:barChart>
      <c:catAx>
        <c:axId val="31960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03600"/>
        <c:crosses val="autoZero"/>
        <c:auto val="1"/>
        <c:lblAlgn val="ctr"/>
        <c:lblOffset val="100"/>
        <c:noMultiLvlLbl val="0"/>
      </c:catAx>
      <c:valAx>
        <c:axId val="31960360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0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a:solidFill>
                  <a:srgbClr val="C00000"/>
                </a:solidFill>
              </a:rPr>
              <a:t>Correlation</a:t>
            </a:r>
            <a:r>
              <a:rPr lang="en-IN" sz="1600" b="0" baseline="0">
                <a:solidFill>
                  <a:srgbClr val="C00000"/>
                </a:solidFill>
              </a:rPr>
              <a:t> of Categories with Crude Oil</a:t>
            </a:r>
            <a:endParaRPr lang="en-IN" sz="1600" b="0">
              <a:solidFill>
                <a:srgbClr val="C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C00000"/>
            </a:solidFill>
            <a:ln>
              <a:noFill/>
            </a:ln>
            <a:effectLst/>
          </c:spPr>
          <c:invertIfNegative val="0"/>
          <c:cat>
            <c:strRef>
              <c:f>'Problem 5'!$A$103:$A$128</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Persol care and effects</c:v>
                </c:pt>
                <c:pt idx="22">
                  <c:v>Education</c:v>
                </c:pt>
                <c:pt idx="23">
                  <c:v>Recreation and amusement</c:v>
                </c:pt>
                <c:pt idx="24">
                  <c:v>Transport and communication</c:v>
                </c:pt>
                <c:pt idx="25">
                  <c:v>Miscellaneous</c:v>
                </c:pt>
              </c:strCache>
            </c:strRef>
          </c:cat>
          <c:val>
            <c:numRef>
              <c:f>'Problem 5'!$D$103:$D$128</c:f>
              <c:numCache>
                <c:formatCode>0.00</c:formatCode>
                <c:ptCount val="26"/>
                <c:pt idx="0">
                  <c:v>9.8634814329868925E-2</c:v>
                </c:pt>
                <c:pt idx="1">
                  <c:v>0.67992538398614677</c:v>
                </c:pt>
                <c:pt idx="2">
                  <c:v>-0.3315438046505565</c:v>
                </c:pt>
                <c:pt idx="3">
                  <c:v>0.18126116174418991</c:v>
                </c:pt>
                <c:pt idx="4">
                  <c:v>0.75879920089049413</c:v>
                </c:pt>
                <c:pt idx="5">
                  <c:v>0.29443288902942161</c:v>
                </c:pt>
                <c:pt idx="6">
                  <c:v>0.44913950476419168</c:v>
                </c:pt>
                <c:pt idx="7">
                  <c:v>-0.12939252473711171</c:v>
                </c:pt>
                <c:pt idx="8">
                  <c:v>0.29673944922670309</c:v>
                </c:pt>
                <c:pt idx="9">
                  <c:v>0.1826393770131538</c:v>
                </c:pt>
                <c:pt idx="10">
                  <c:v>0.34204292757843463</c:v>
                </c:pt>
                <c:pt idx="11">
                  <c:v>0.30194792204277632</c:v>
                </c:pt>
                <c:pt idx="12">
                  <c:v>0.43280544153514777</c:v>
                </c:pt>
                <c:pt idx="13">
                  <c:v>0.14932219704278443</c:v>
                </c:pt>
                <c:pt idx="14">
                  <c:v>0.3458430911640441</c:v>
                </c:pt>
                <c:pt idx="15">
                  <c:v>0.38937865925155157</c:v>
                </c:pt>
                <c:pt idx="16">
                  <c:v>0.35337628090977957</c:v>
                </c:pt>
                <c:pt idx="17">
                  <c:v>0.23713189120949721</c:v>
                </c:pt>
                <c:pt idx="18">
                  <c:v>0.39522370384457084</c:v>
                </c:pt>
                <c:pt idx="19">
                  <c:v>0.32600399207389968</c:v>
                </c:pt>
                <c:pt idx="20">
                  <c:v>0.27018090587929267</c:v>
                </c:pt>
                <c:pt idx="21">
                  <c:v>0.2301848202369696</c:v>
                </c:pt>
                <c:pt idx="22">
                  <c:v>0.26029261296803224</c:v>
                </c:pt>
                <c:pt idx="23">
                  <c:v>0.42044385053311606</c:v>
                </c:pt>
                <c:pt idx="24">
                  <c:v>0.51557042552906418</c:v>
                </c:pt>
                <c:pt idx="25">
                  <c:v>0.35047898033301006</c:v>
                </c:pt>
              </c:numCache>
            </c:numRef>
          </c:val>
          <c:extLst>
            <c:ext xmlns:c16="http://schemas.microsoft.com/office/drawing/2014/chart" uri="{C3380CC4-5D6E-409C-BE32-E72D297353CC}">
              <c16:uniqueId val="{00000000-1F0D-4428-BE4D-4F48B7D5738C}"/>
            </c:ext>
          </c:extLst>
        </c:ser>
        <c:dLbls>
          <c:showLegendKey val="0"/>
          <c:showVal val="0"/>
          <c:showCatName val="0"/>
          <c:showSerName val="0"/>
          <c:showPercent val="0"/>
          <c:showBubbleSize val="0"/>
        </c:dLbls>
        <c:gapWidth val="219"/>
        <c:overlap val="-27"/>
        <c:axId val="947214415"/>
        <c:axId val="947215855"/>
      </c:barChart>
      <c:catAx>
        <c:axId val="94721441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7215855"/>
        <c:crosses val="autoZero"/>
        <c:auto val="1"/>
        <c:lblAlgn val="ctr"/>
        <c:lblOffset val="100"/>
        <c:noMultiLvlLbl val="0"/>
      </c:catAx>
      <c:valAx>
        <c:axId val="947215855"/>
        <c:scaling>
          <c:orientation val="minMax"/>
          <c:min val="-0.1"/>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721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rgbClr val="C00000"/>
                </a:solidFill>
              </a:rPr>
              <a:t>Contribution of broader categories towards CPI (Rural)</a:t>
            </a:r>
          </a:p>
        </c:rich>
      </c:tx>
      <c:layout>
        <c:manualLayout>
          <c:xMode val="edge"/>
          <c:yMode val="edge"/>
          <c:x val="9.2059190471146288E-2"/>
          <c:y val="4.287245444801714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'Problem 1'!$B$6</c:f>
              <c:strCache>
                <c:ptCount val="1"/>
                <c:pt idx="0">
                  <c:v>Values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6A2-4A85-A73A-DAC4178D9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6A2-4A85-A73A-DAC4178D95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C6A2-4A85-A73A-DAC4178D95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6A2-4A85-A73A-DAC4178D95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C6A2-4A85-A73A-DAC4178D95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C6A2-4A85-A73A-DAC4178D959A}"/>
              </c:ext>
            </c:extLst>
          </c:dPt>
          <c:dLbls>
            <c:dLbl>
              <c:idx val="0"/>
              <c:layout>
                <c:manualLayout>
                  <c:x val="-8.9730235514282695E-3"/>
                  <c:y val="-0.2034259985990497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6A2-4A85-A73A-DAC4178D959A}"/>
                </c:ext>
              </c:extLst>
            </c:dLbl>
            <c:dLbl>
              <c:idx val="1"/>
              <c:layout>
                <c:manualLayout>
                  <c:x val="-4.4195708720266467E-4"/>
                  <c:y val="1.458718383674709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A2-4A85-A73A-DAC4178D959A}"/>
                </c:ext>
              </c:extLst>
            </c:dLbl>
            <c:dLbl>
              <c:idx val="2"/>
              <c:layout>
                <c:manualLayout>
                  <c:x val="-1.4036256958911527E-2"/>
                  <c:y val="1.312378155302934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6A2-4A85-A73A-DAC4178D959A}"/>
                </c:ext>
              </c:extLst>
            </c:dLbl>
            <c:dLbl>
              <c:idx val="3"/>
              <c:layout>
                <c:manualLayout>
                  <c:x val="-1.2509121617645329E-2"/>
                  <c:y val="2.810593209610856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A2-4A85-A73A-DAC4178D959A}"/>
                </c:ext>
              </c:extLst>
            </c:dLbl>
            <c:dLbl>
              <c:idx val="4"/>
              <c:layout>
                <c:manualLayout>
                  <c:x val="-1.1156326871697092E-2"/>
                  <c:y val="-2.94634191626368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6A2-4A85-A73A-DAC4178D959A}"/>
                </c:ext>
              </c:extLst>
            </c:dLbl>
            <c:dLbl>
              <c:idx val="5"/>
              <c:layout>
                <c:manualLayout>
                  <c:x val="4.7039740828360578E-2"/>
                  <c:y val="-3.63546598475833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A2-4A85-A73A-DAC4178D95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1'!$A$7:$A$12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1'!$B$7:$B$12</c:f>
              <c:numCache>
                <c:formatCode>General</c:formatCode>
                <c:ptCount val="6"/>
                <c:pt idx="0">
                  <c:v>2290.6999999999998</c:v>
                </c:pt>
                <c:pt idx="1">
                  <c:v>199.9</c:v>
                </c:pt>
                <c:pt idx="2">
                  <c:v>569.90000000000009</c:v>
                </c:pt>
                <c:pt idx="3">
                  <c:v>537.90000000000009</c:v>
                </c:pt>
                <c:pt idx="4">
                  <c:v>553</c:v>
                </c:pt>
                <c:pt idx="5">
                  <c:v>523</c:v>
                </c:pt>
              </c:numCache>
            </c:numRef>
          </c:val>
          <c:extLst>
            <c:ext xmlns:c16="http://schemas.microsoft.com/office/drawing/2014/chart" uri="{C3380CC4-5D6E-409C-BE32-E72D297353CC}">
              <c16:uniqueId val="{00000000-C6A2-4A85-A73A-DAC4178D959A}"/>
            </c:ext>
          </c:extLst>
        </c:ser>
        <c:ser>
          <c:idx val="1"/>
          <c:order val="1"/>
          <c:tx>
            <c:strRef>
              <c:f>'Problem 1'!$C$6</c:f>
              <c:strCache>
                <c:ptCount val="1"/>
                <c:pt idx="0">
                  <c:v>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F73E-4020-9A7D-F5977CC9DB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F73E-4020-9A7D-F5977CC9DB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F73E-4020-9A7D-F5977CC9DB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F73E-4020-9A7D-F5977CC9DB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F73E-4020-9A7D-F5977CC9DB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F73E-4020-9A7D-F5977CC9DB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1'!$A$7:$A$12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1'!$C$7:$C$12</c:f>
              <c:numCache>
                <c:formatCode>0%</c:formatCode>
                <c:ptCount val="6"/>
                <c:pt idx="0">
                  <c:v>0.49005219921273319</c:v>
                </c:pt>
                <c:pt idx="1">
                  <c:v>4.2764846825261001E-2</c:v>
                </c:pt>
                <c:pt idx="2">
                  <c:v>0.12191939072394321</c:v>
                </c:pt>
                <c:pt idx="3">
                  <c:v>0.11507359233270582</c:v>
                </c:pt>
                <c:pt idx="4">
                  <c:v>0.11830395344857095</c:v>
                </c:pt>
                <c:pt idx="5">
                  <c:v>0.11188601745678591</c:v>
                </c:pt>
              </c:numCache>
            </c:numRef>
          </c:val>
          <c:extLst>
            <c:ext xmlns:c16="http://schemas.microsoft.com/office/drawing/2014/chart" uri="{C3380CC4-5D6E-409C-BE32-E72D297353CC}">
              <c16:uniqueId val="{00000001-C6A2-4A85-A73A-DAC4178D95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323618638579271"/>
          <c:y val="0.40364450151885523"/>
          <c:w val="0.34511879196918566"/>
          <c:h val="0.555562314367356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rgbClr val="C00000"/>
                </a:solidFill>
              </a:rPr>
              <a:t>Contribution of broader categories towards CPI (Urban )</a:t>
            </a:r>
          </a:p>
        </c:rich>
      </c:tx>
      <c:layout>
        <c:manualLayout>
          <c:xMode val="edge"/>
          <c:yMode val="edge"/>
          <c:x val="0.11819970020677439"/>
          <c:y val="4.301075268817204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'Problem 1'!$G$6</c:f>
              <c:strCache>
                <c:ptCount val="1"/>
                <c:pt idx="0">
                  <c:v>Values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1BC-4969-87C2-FB012DC516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BC-4969-87C2-FB012DC516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1BC-4969-87C2-FB012DC516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E1BC-4969-87C2-FB012DC516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1BC-4969-87C2-FB012DC516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E1BC-4969-87C2-FB012DC516E7}"/>
              </c:ext>
            </c:extLst>
          </c:dPt>
          <c:dLbls>
            <c:dLbl>
              <c:idx val="0"/>
              <c:layout>
                <c:manualLayout>
                  <c:x val="1.5048908954100828E-2"/>
                  <c:y val="2.15053763440860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1BC-4969-87C2-FB012DC516E7}"/>
                </c:ext>
              </c:extLst>
            </c:dLbl>
            <c:dLbl>
              <c:idx val="1"/>
              <c:layout>
                <c:manualLayout>
                  <c:x val="0"/>
                  <c:y val="2.688172043010752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BC-4969-87C2-FB012DC516E7}"/>
                </c:ext>
              </c:extLst>
            </c:dLbl>
            <c:dLbl>
              <c:idx val="2"/>
              <c:layout>
                <c:manualLayout>
                  <c:x val="-3.7622272385252069E-3"/>
                  <c:y val="2.15053763440858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1BC-4969-87C2-FB012DC516E7}"/>
                </c:ext>
              </c:extLst>
            </c:dLbl>
            <c:dLbl>
              <c:idx val="3"/>
              <c:layout>
                <c:manualLayout>
                  <c:x val="0"/>
                  <c:y val="3.225806451612893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BC-4969-87C2-FB012DC516E7}"/>
                </c:ext>
              </c:extLst>
            </c:dLbl>
            <c:dLbl>
              <c:idx val="4"/>
              <c:layout>
                <c:manualLayout>
                  <c:x val="-2.2573363431151242E-2"/>
                  <c:y val="1.075268817204301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1BC-4969-87C2-FB012DC516E7}"/>
                </c:ext>
              </c:extLst>
            </c:dLbl>
            <c:dLbl>
              <c:idx val="5"/>
              <c:layout>
                <c:manualLayout>
                  <c:x val="3.7622272385252072E-2"/>
                  <c:y val="-2.688172043010755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1BC-4969-87C2-FB012DC516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1'!$F$7:$F$12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1'!$G$7:$G$12</c:f>
              <c:numCache>
                <c:formatCode>General</c:formatCode>
                <c:ptCount val="6"/>
                <c:pt idx="0">
                  <c:v>2335.1</c:v>
                </c:pt>
                <c:pt idx="1">
                  <c:v>204.2</c:v>
                </c:pt>
                <c:pt idx="2">
                  <c:v>528.70000000000005</c:v>
                </c:pt>
                <c:pt idx="3">
                  <c:v>529.1</c:v>
                </c:pt>
                <c:pt idx="4">
                  <c:v>542.59999999999991</c:v>
                </c:pt>
                <c:pt idx="5">
                  <c:v>501.20000000000005</c:v>
                </c:pt>
              </c:numCache>
            </c:numRef>
          </c:val>
          <c:extLst>
            <c:ext xmlns:c16="http://schemas.microsoft.com/office/drawing/2014/chart" uri="{C3380CC4-5D6E-409C-BE32-E72D297353CC}">
              <c16:uniqueId val="{00000000-E1BC-4969-87C2-FB012DC516E7}"/>
            </c:ext>
          </c:extLst>
        </c:ser>
        <c:ser>
          <c:idx val="1"/>
          <c:order val="1"/>
          <c:tx>
            <c:strRef>
              <c:f>'Problem 1'!$H$6</c:f>
              <c:strCache>
                <c:ptCount val="1"/>
                <c:pt idx="0">
                  <c:v>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6EFF-45C0-B664-7427E52D1E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6EFF-45C0-B664-7427E52D1E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6EFF-45C0-B664-7427E52D1E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6EFF-45C0-B664-7427E52D1E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6EFF-45C0-B664-7427E52D1E7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6EFF-45C0-B664-7427E52D1E70}"/>
              </c:ext>
            </c:extLst>
          </c:dPt>
          <c:cat>
            <c:strRef>
              <c:f>'Problem 1'!$F$7:$F$12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1'!$H$7:$H$12</c:f>
              <c:numCache>
                <c:formatCode>0%</c:formatCode>
                <c:ptCount val="6"/>
                <c:pt idx="0">
                  <c:v>0.50315671529229244</c:v>
                </c:pt>
                <c:pt idx="1">
                  <c:v>4.4000086190178631E-2</c:v>
                </c:pt>
                <c:pt idx="2">
                  <c:v>0.1139218686030727</c:v>
                </c:pt>
                <c:pt idx="3">
                  <c:v>0.11400805878170184</c:v>
                </c:pt>
                <c:pt idx="4">
                  <c:v>0.11691697731043546</c:v>
                </c:pt>
                <c:pt idx="5">
                  <c:v>0.10799629382231897</c:v>
                </c:pt>
              </c:numCache>
            </c:numRef>
          </c:val>
          <c:extLst>
            <c:ext xmlns:c16="http://schemas.microsoft.com/office/drawing/2014/chart" uri="{C3380CC4-5D6E-409C-BE32-E72D297353CC}">
              <c16:uniqueId val="{00000001-E1BC-4969-87C2-FB012DC516E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459240214020862"/>
          <c:y val="0.41243026439876834"/>
          <c:w val="0.34273186089834007"/>
          <c:h val="0.55075236807520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Contribution</a:t>
            </a:r>
            <a:r>
              <a:rPr lang="en-US" baseline="0">
                <a:solidFill>
                  <a:srgbClr val="C00000"/>
                </a:solidFill>
              </a:rPr>
              <a:t> of broader categories towards CPI (Rural + Urban)</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'Problem 1'!$L$6</c:f>
              <c:strCache>
                <c:ptCount val="1"/>
                <c:pt idx="0">
                  <c:v>Values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50D4-4EDD-B617-265B138FC1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50D4-4EDD-B617-265B138FC1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50D4-4EDD-B617-265B138FC1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D4-4EDD-B617-265B138FC1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50D4-4EDD-B617-265B138FC1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50D4-4EDD-B617-265B138FC1C2}"/>
              </c:ext>
            </c:extLst>
          </c:dPt>
          <c:dLbls>
            <c:dLbl>
              <c:idx val="0"/>
              <c:layout>
                <c:manualLayout>
                  <c:x val="1.5255530129672006E-2"/>
                  <c:y val="-9.7776648253593543E-1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0D4-4EDD-B617-265B138FC1C2}"/>
                </c:ext>
              </c:extLst>
            </c:dLbl>
            <c:dLbl>
              <c:idx val="1"/>
              <c:layout>
                <c:manualLayout>
                  <c:x val="3.8138825324179667E-3"/>
                  <c:y val="2.133333333333333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D4-4EDD-B617-265B138FC1C2}"/>
                </c:ext>
              </c:extLst>
            </c:dLbl>
            <c:dLbl>
              <c:idx val="2"/>
              <c:layout>
                <c:manualLayout>
                  <c:x val="-3.8138825324180014E-3"/>
                  <c:y val="3.20000000000000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0D4-4EDD-B617-265B138FC1C2}"/>
                </c:ext>
              </c:extLst>
            </c:dLbl>
            <c:dLbl>
              <c:idx val="3"/>
              <c:layout>
                <c:manualLayout>
                  <c:x val="0"/>
                  <c:y val="3.733333333333323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0D4-4EDD-B617-265B138FC1C2}"/>
                </c:ext>
              </c:extLst>
            </c:dLbl>
            <c:dLbl>
              <c:idx val="4"/>
              <c:layout>
                <c:manualLayout>
                  <c:x val="-4.3700232521807756E-18"/>
                  <c:y val="-3.733333333333328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0D4-4EDD-B617-265B138FC1C2}"/>
                </c:ext>
              </c:extLst>
            </c:dLbl>
            <c:dLbl>
              <c:idx val="5"/>
              <c:layout>
                <c:manualLayout>
                  <c:x val="1.5255530129672006E-2"/>
                  <c:y val="-3.733333333333333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D4-4EDD-B617-265B138FC1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1'!$K$7:$K$12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1'!$L$7:$L$12</c:f>
              <c:numCache>
                <c:formatCode>General</c:formatCode>
                <c:ptCount val="6"/>
                <c:pt idx="0">
                  <c:v>2306.9</c:v>
                </c:pt>
                <c:pt idx="1">
                  <c:v>201</c:v>
                </c:pt>
                <c:pt idx="2">
                  <c:v>553.20000000000005</c:v>
                </c:pt>
                <c:pt idx="3">
                  <c:v>533.59999999999991</c:v>
                </c:pt>
                <c:pt idx="4">
                  <c:v>548</c:v>
                </c:pt>
                <c:pt idx="5">
                  <c:v>511.7</c:v>
                </c:pt>
              </c:numCache>
            </c:numRef>
          </c:val>
          <c:extLst>
            <c:ext xmlns:c16="http://schemas.microsoft.com/office/drawing/2014/chart" uri="{C3380CC4-5D6E-409C-BE32-E72D297353CC}">
              <c16:uniqueId val="{00000000-50D4-4EDD-B617-265B138FC1C2}"/>
            </c:ext>
          </c:extLst>
        </c:ser>
        <c:ser>
          <c:idx val="1"/>
          <c:order val="1"/>
          <c:tx>
            <c:strRef>
              <c:f>'Problem 1'!$M$6</c:f>
              <c:strCache>
                <c:ptCount val="1"/>
                <c:pt idx="0">
                  <c:v>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FAEB-48FF-AE4D-555DC0A79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FAEB-48FF-AE4D-555DC0A79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FAEB-48FF-AE4D-555DC0A799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FAEB-48FF-AE4D-555DC0A799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FAEB-48FF-AE4D-555DC0A799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FAEB-48FF-AE4D-555DC0A799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1'!$K$7:$K$12</c:f>
              <c:strCache>
                <c:ptCount val="6"/>
                <c:pt idx="0">
                  <c:v>Food and Beverages</c:v>
                </c:pt>
                <c:pt idx="1">
                  <c:v>Pan, tobacco and intoxicants</c:v>
                </c:pt>
                <c:pt idx="2">
                  <c:v>Clothing and footwear</c:v>
                </c:pt>
                <c:pt idx="3">
                  <c:v>Household and Utilities</c:v>
                </c:pt>
                <c:pt idx="4">
                  <c:v>Health,Education and Personal Care</c:v>
                </c:pt>
                <c:pt idx="5">
                  <c:v>Miscellaneous</c:v>
                </c:pt>
              </c:strCache>
            </c:strRef>
          </c:cat>
          <c:val>
            <c:numRef>
              <c:f>'Problem 1'!$M$7:$M$12</c:f>
              <c:numCache>
                <c:formatCode>0%</c:formatCode>
                <c:ptCount val="6"/>
                <c:pt idx="0">
                  <c:v>0.49563853557923682</c:v>
                </c:pt>
                <c:pt idx="1">
                  <c:v>4.3184943279477479E-2</c:v>
                </c:pt>
                <c:pt idx="2">
                  <c:v>0.11885527672739772</c:v>
                </c:pt>
                <c:pt idx="3">
                  <c:v>0.11464420763148846</c:v>
                </c:pt>
                <c:pt idx="4">
                  <c:v>0.1177380543141973</c:v>
                </c:pt>
                <c:pt idx="5">
                  <c:v>0.10993898246820212</c:v>
                </c:pt>
              </c:numCache>
            </c:numRef>
          </c:val>
          <c:extLst>
            <c:ext xmlns:c16="http://schemas.microsoft.com/office/drawing/2014/chart" uri="{C3380CC4-5D6E-409C-BE32-E72D297353CC}">
              <c16:uniqueId val="{00000001-50D4-4EDD-B617-265B138FC1C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679965004374466"/>
          <c:y val="0.42960301837270348"/>
          <c:w val="0.29653368328958879"/>
          <c:h val="0.51621026538349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lotArea>
      <c:layout>
        <c:manualLayout>
          <c:layoutTarget val="inner"/>
          <c:xMode val="edge"/>
          <c:yMode val="edge"/>
          <c:x val="9.2323542740610651E-2"/>
          <c:y val="0.17200980392156862"/>
          <c:w val="0.87470283615627187"/>
          <c:h val="0.70446927589933617"/>
        </c:manualLayout>
      </c:layout>
      <c:lineChart>
        <c:grouping val="standard"/>
        <c:varyColors val="0"/>
        <c:ser>
          <c:idx val="0"/>
          <c:order val="0"/>
          <c:tx>
            <c:strRef>
              <c:f>'Problem 2'!$E$3</c:f>
              <c:strCache>
                <c:ptCount val="1"/>
                <c:pt idx="0">
                  <c:v>YOY % change</c:v>
                </c:pt>
              </c:strCache>
            </c:strRef>
          </c:tx>
          <c:spPr>
            <a:ln w="28575" cap="rnd">
              <a:solidFill>
                <a:srgbClr val="C00000"/>
              </a:solidFill>
              <a:round/>
            </a:ln>
            <a:effectLst/>
          </c:spPr>
          <c:marker>
            <c:symbol val="none"/>
          </c:marker>
          <c:dLbls>
            <c:dLbl>
              <c:idx val="1"/>
              <c:layout>
                <c:manualLayout>
                  <c:x val="-8.4561070491188606E-2"/>
                  <c:y val="-7.50000895181418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CF-4F04-9E1E-3A7DBC12F629}"/>
                </c:ext>
              </c:extLst>
            </c:dLbl>
            <c:dLbl>
              <c:idx val="2"/>
              <c:layout>
                <c:manualLayout>
                  <c:x val="-6.0751546681664791E-2"/>
                  <c:y val="-5.6810003115231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CF-4F04-9E1E-3A7DBC12F629}"/>
                </c:ext>
              </c:extLst>
            </c:dLbl>
            <c:dLbl>
              <c:idx val="3"/>
              <c:layout>
                <c:manualLayout>
                  <c:x val="-5.7775356205474374E-2"/>
                  <c:y val="-0.138665391928328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CF-4F04-9E1E-3A7DBC12F629}"/>
                </c:ext>
              </c:extLst>
            </c:dLbl>
            <c:dLbl>
              <c:idx val="4"/>
              <c:layout>
                <c:manualLayout>
                  <c:x val="-6.9680118110236222E-2"/>
                  <c:y val="-9.77376975217797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CF-4F04-9E1E-3A7DBC12F629}"/>
                </c:ext>
              </c:extLst>
            </c:dLbl>
            <c:dLbl>
              <c:idx val="5"/>
              <c:layout>
                <c:manualLayout>
                  <c:x val="-5.1822975253093366E-2"/>
                  <c:y val="-0.125022827126145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CF-4F04-9E1E-3A7DBC12F629}"/>
                </c:ext>
              </c:extLst>
            </c:dLbl>
            <c:dLbl>
              <c:idx val="6"/>
              <c:layout>
                <c:manualLayout>
                  <c:x val="-4.2894403824521934E-2"/>
                  <c:y val="-9.77376975217797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CF-4F04-9E1E-3A7DBC12F629}"/>
                </c:ext>
              </c:extLst>
            </c:dLbl>
            <c:dLbl>
              <c:idx val="7"/>
              <c:layout>
                <c:manualLayout>
                  <c:x val="-3.3965832395950503E-2"/>
                  <c:y val="-8.40951327195969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CF-4F04-9E1E-3A7DBC12F6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'Problem 2'!$B$4:$B$11</c:f>
              <c:numCache>
                <c:formatCode>General</c:formatCode>
                <c:ptCount val="8"/>
                <c:pt idx="0">
                  <c:v>2016</c:v>
                </c:pt>
                <c:pt idx="1">
                  <c:v>2017</c:v>
                </c:pt>
                <c:pt idx="2">
                  <c:v>2018</c:v>
                </c:pt>
                <c:pt idx="3">
                  <c:v>2019</c:v>
                </c:pt>
                <c:pt idx="4">
                  <c:v>2020</c:v>
                </c:pt>
                <c:pt idx="5">
                  <c:v>2021</c:v>
                </c:pt>
                <c:pt idx="6">
                  <c:v>2022</c:v>
                </c:pt>
                <c:pt idx="7">
                  <c:v>2023</c:v>
                </c:pt>
              </c:numCache>
            </c:numRef>
          </c:cat>
          <c:val>
            <c:numRef>
              <c:f>'Problem 2'!$E$4:$E$11</c:f>
              <c:numCache>
                <c:formatCode>0.0%</c:formatCode>
                <c:ptCount val="8"/>
                <c:pt idx="1">
                  <c:v>2.1772939346811911E-2</c:v>
                </c:pt>
                <c:pt idx="2">
                  <c:v>4.8706240487062444E-2</c:v>
                </c:pt>
                <c:pt idx="3">
                  <c:v>3.0478955007256808E-2</c:v>
                </c:pt>
                <c:pt idx="4">
                  <c:v>6.3497652582159711E-2</c:v>
                </c:pt>
                <c:pt idx="5">
                  <c:v>6.2134422249199815E-2</c:v>
                </c:pt>
                <c:pt idx="6">
                  <c:v>7.0448877805486171E-2</c:v>
                </c:pt>
                <c:pt idx="7">
                  <c:v>4.3098427489807842E-2</c:v>
                </c:pt>
              </c:numCache>
            </c:numRef>
          </c:val>
          <c:smooth val="0"/>
          <c:extLst>
            <c:ext xmlns:c16="http://schemas.microsoft.com/office/drawing/2014/chart" uri="{C3380CC4-5D6E-409C-BE32-E72D297353CC}">
              <c16:uniqueId val="{00000000-CF6F-4C2A-95A7-1CE157B4E87D}"/>
            </c:ext>
          </c:extLst>
        </c:ser>
        <c:dLbls>
          <c:dLblPos val="t"/>
          <c:showLegendKey val="0"/>
          <c:showVal val="1"/>
          <c:showCatName val="0"/>
          <c:showSerName val="0"/>
          <c:showPercent val="0"/>
          <c:showBubbleSize val="0"/>
        </c:dLbls>
        <c:smooth val="0"/>
        <c:axId val="1294317872"/>
        <c:axId val="1294315472"/>
      </c:lineChart>
      <c:catAx>
        <c:axId val="129431787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alpha val="95000"/>
                  </a:schemeClr>
                </a:solidFill>
                <a:latin typeface="+mn-lt"/>
                <a:ea typeface="+mn-ea"/>
                <a:cs typeface="+mn-cs"/>
              </a:defRPr>
            </a:pPr>
            <a:endParaRPr lang="en-US"/>
          </a:p>
        </c:txPr>
        <c:crossAx val="1294315472"/>
        <c:crosses val="autoZero"/>
        <c:auto val="1"/>
        <c:lblAlgn val="ctr"/>
        <c:lblOffset val="100"/>
        <c:noMultiLvlLbl val="0"/>
      </c:catAx>
      <c:valAx>
        <c:axId val="12943154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alpha val="95000"/>
                  </a:schemeClr>
                </a:solidFill>
                <a:latin typeface="+mn-lt"/>
                <a:ea typeface="+mn-ea"/>
                <a:cs typeface="+mn-cs"/>
              </a:defRPr>
            </a:pPr>
            <a:endParaRPr lang="en-US"/>
          </a:p>
        </c:txPr>
        <c:crossAx val="1294317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IN">
                <a:solidFill>
                  <a:srgbClr val="C00000"/>
                </a:solidFill>
              </a:rPr>
              <a:t>Category</a:t>
            </a:r>
            <a:r>
              <a:rPr lang="en-IN" baseline="0">
                <a:solidFill>
                  <a:srgbClr val="C00000"/>
                </a:solidFill>
              </a:rPr>
              <a:t> wise Inflation %</a:t>
            </a:r>
            <a:endParaRPr lang="en-IN">
              <a:solidFill>
                <a:srgbClr val="C00000"/>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IN"/>
        </a:p>
      </c:txPr>
    </c:title>
    <c:autoTitleDeleted val="0"/>
    <c:plotArea>
      <c:layout/>
      <c:barChart>
        <c:barDir val="col"/>
        <c:grouping val="clustered"/>
        <c:varyColors val="0"/>
        <c:ser>
          <c:idx val="0"/>
          <c:order val="0"/>
          <c:spPr>
            <a:solidFill>
              <a:srgbClr val="C00000"/>
            </a:solidFill>
            <a:ln w="19050">
              <a:solidFill>
                <a:schemeClr val="lt1"/>
              </a:solidFill>
            </a:ln>
            <a:effectLst/>
          </c:spPr>
          <c:invertIfNegative val="0"/>
          <c:cat>
            <c:strRef>
              <c:f>'Problem 2'!$D$22:$AC$22</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Persol care and effects</c:v>
                </c:pt>
                <c:pt idx="22">
                  <c:v>Education</c:v>
                </c:pt>
                <c:pt idx="23">
                  <c:v>Recreation and amusement</c:v>
                </c:pt>
                <c:pt idx="24">
                  <c:v>Transport and communication</c:v>
                </c:pt>
                <c:pt idx="25">
                  <c:v>Miscellaneous</c:v>
                </c:pt>
              </c:strCache>
            </c:strRef>
          </c:cat>
          <c:val>
            <c:numRef>
              <c:f>'Problem 2'!$D$36:$AC$36</c:f>
              <c:numCache>
                <c:formatCode>0.0%</c:formatCode>
                <c:ptCount val="26"/>
                <c:pt idx="0">
                  <c:v>0.13177257525083605</c:v>
                </c:pt>
                <c:pt idx="1">
                  <c:v>5.1836940110719737E-2</c:v>
                </c:pt>
                <c:pt idx="2">
                  <c:v>6.3758389261744833E-2</c:v>
                </c:pt>
                <c:pt idx="3">
                  <c:v>8.161993769470402E-2</c:v>
                </c:pt>
                <c:pt idx="4">
                  <c:v>2.0573903627504123E-2</c:v>
                </c:pt>
                <c:pt idx="5">
                  <c:v>2.7976577748861493E-2</c:v>
                </c:pt>
                <c:pt idx="6">
                  <c:v>-8.2616179001721204E-2</c:v>
                </c:pt>
                <c:pt idx="7">
                  <c:v>4.2098840756558911E-2</c:v>
                </c:pt>
                <c:pt idx="8">
                  <c:v>1.4999999999999977E-2</c:v>
                </c:pt>
                <c:pt idx="9">
                  <c:v>0.1923300406740267</c:v>
                </c:pt>
                <c:pt idx="10">
                  <c:v>4.0779062690200783E-2</c:v>
                </c:pt>
                <c:pt idx="11">
                  <c:v>7.3322053017484484E-2</c:v>
                </c:pt>
                <c:pt idx="12">
                  <c:v>5.7091346153846152E-2</c:v>
                </c:pt>
                <c:pt idx="13">
                  <c:v>2.6534859521332065E-2</c:v>
                </c:pt>
                <c:pt idx="14">
                  <c:v>8.2989994114184784E-2</c:v>
                </c:pt>
                <c:pt idx="15">
                  <c:v>0.10143123833229628</c:v>
                </c:pt>
                <c:pt idx="16">
                  <c:v>8.6053412462908013E-2</c:v>
                </c:pt>
                <c:pt idx="17">
                  <c:v>3.7689969604863149E-2</c:v>
                </c:pt>
                <c:pt idx="18">
                  <c:v>0.1084043848964678</c:v>
                </c:pt>
                <c:pt idx="19">
                  <c:v>6.8280571073867161E-2</c:v>
                </c:pt>
                <c:pt idx="20">
                  <c:v>5.6592765460910084E-2</c:v>
                </c:pt>
                <c:pt idx="21">
                  <c:v>7.8527607361963264E-2</c:v>
                </c:pt>
                <c:pt idx="22">
                  <c:v>5.7073466909532522E-2</c:v>
                </c:pt>
                <c:pt idx="23">
                  <c:v>4.7766749379652716E-2</c:v>
                </c:pt>
                <c:pt idx="24">
                  <c:v>4.408945686900962E-2</c:v>
                </c:pt>
                <c:pt idx="25">
                  <c:v>5.716041794714205E-2</c:v>
                </c:pt>
              </c:numCache>
            </c:numRef>
          </c:val>
          <c:extLst>
            <c:ext xmlns:c16="http://schemas.microsoft.com/office/drawing/2014/chart" uri="{C3380CC4-5D6E-409C-BE32-E72D297353CC}">
              <c16:uniqueId val="{00000000-73CD-4FC2-9BDD-97615BFD1517}"/>
            </c:ext>
          </c:extLst>
        </c:ser>
        <c:dLbls>
          <c:showLegendKey val="0"/>
          <c:showVal val="0"/>
          <c:showCatName val="0"/>
          <c:showSerName val="0"/>
          <c:showPercent val="0"/>
          <c:showBubbleSize val="0"/>
        </c:dLbls>
        <c:gapWidth val="150"/>
        <c:axId val="1294279952"/>
        <c:axId val="1294282352"/>
      </c:barChart>
      <c:valAx>
        <c:axId val="1294282352"/>
        <c:scaling>
          <c:orientation val="minMax"/>
        </c:scaling>
        <c:delete val="0"/>
        <c:axPos val="l"/>
        <c:majorGridlines>
          <c:spPr>
            <a:ln w="9525" cap="flat" cmpd="sng" algn="ctr">
              <a:no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4279952"/>
        <c:crosses val="autoZero"/>
        <c:crossBetween val="between"/>
      </c:valAx>
      <c:catAx>
        <c:axId val="1294279952"/>
        <c:scaling>
          <c:orientation val="minMax"/>
        </c:scaling>
        <c:delete val="0"/>
        <c:axPos val="b"/>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4282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rgbClr val="C00000"/>
                </a:solidFill>
                <a:latin typeface="Calibri" panose="020F0502020204030204"/>
              </a:rPr>
              <a:t>MOM% Change</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'Problem 3'!$G$4:$G$5</c:f>
              <c:strCache>
                <c:ptCount val="2"/>
                <c:pt idx="0">
                  <c:v>Inflation</c:v>
                </c:pt>
                <c:pt idx="1">
                  <c:v>        -</c:v>
                </c:pt>
              </c:strCache>
            </c:strRef>
          </c:tx>
          <c:spPr>
            <a:ln w="28575" cap="rnd">
              <a:solidFill>
                <a:srgbClr val="C82808"/>
              </a:solidFill>
              <a:round/>
            </a:ln>
            <a:effectLst/>
          </c:spPr>
          <c:marker>
            <c:symbol val="none"/>
          </c:marker>
          <c:dLbls>
            <c:dLbl>
              <c:idx val="0"/>
              <c:layout>
                <c:manualLayout>
                  <c:x val="-2.7120315581854067E-2"/>
                  <c:y val="-8.196721311475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7F-4E94-8E2B-1B6B09DC8B67}"/>
                </c:ext>
              </c:extLst>
            </c:dLbl>
            <c:dLbl>
              <c:idx val="1"/>
              <c:layout>
                <c:manualLayout>
                  <c:x val="-2.2189349112426059E-2"/>
                  <c:y val="-9.5628415300546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7F-4E94-8E2B-1B6B09DC8B67}"/>
                </c:ext>
              </c:extLst>
            </c:dLbl>
            <c:dLbl>
              <c:idx val="2"/>
              <c:layout>
                <c:manualLayout>
                  <c:x val="2.465483234714004E-2"/>
                  <c:y val="-1.8214936247723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7F-4E94-8E2B-1B6B09DC8B67}"/>
                </c:ext>
              </c:extLst>
            </c:dLbl>
            <c:dLbl>
              <c:idx val="3"/>
              <c:layout>
                <c:manualLayout>
                  <c:x val="-4.9309664694280081E-2"/>
                  <c:y val="-0.12750455373406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7F-4E94-8E2B-1B6B09DC8B67}"/>
                </c:ext>
              </c:extLst>
            </c:dLbl>
            <c:dLbl>
              <c:idx val="4"/>
              <c:layout>
                <c:manualLayout>
                  <c:x val="3.4516765285996058E-2"/>
                  <c:y val="-1.36612021857923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7F-4E94-8E2B-1B6B09DC8B67}"/>
                </c:ext>
              </c:extLst>
            </c:dLbl>
            <c:dLbl>
              <c:idx val="5"/>
              <c:layout>
                <c:manualLayout>
                  <c:x val="-9.861932938856106E-3"/>
                  <c:y val="-0.127504553734062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7F-4E94-8E2B-1B6B09DC8B67}"/>
                </c:ext>
              </c:extLst>
            </c:dLbl>
            <c:dLbl>
              <c:idx val="7"/>
              <c:layout>
                <c:manualLayout>
                  <c:x val="-2.9585798816568139E-2"/>
                  <c:y val="-8.6520947176684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37F-4E94-8E2B-1B6B09DC8B67}"/>
                </c:ext>
              </c:extLst>
            </c:dLbl>
            <c:dLbl>
              <c:idx val="9"/>
              <c:layout>
                <c:manualLayout>
                  <c:x val="-9.6153846153846159E-2"/>
                  <c:y val="-0.12295081967213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37F-4E94-8E2B-1B6B09DC8B67}"/>
                </c:ext>
              </c:extLst>
            </c:dLbl>
            <c:dLbl>
              <c:idx val="10"/>
              <c:layout>
                <c:manualLayout>
                  <c:x val="0"/>
                  <c:y val="7.2859744990892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37F-4E94-8E2B-1B6B09DC8B67}"/>
                </c:ext>
              </c:extLst>
            </c:dLbl>
            <c:dLbl>
              <c:idx val="11"/>
              <c:layout>
                <c:manualLayout>
                  <c:x val="-7.3964497041420114E-3"/>
                  <c:y val="-0.10928961748633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37F-4E94-8E2B-1B6B09DC8B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3'!$B$6:$B$17</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'Problem 3'!$G$6:$G$17</c:f>
              <c:numCache>
                <c:formatCode>0.00%</c:formatCode>
                <c:ptCount val="12"/>
                <c:pt idx="0">
                  <c:v>1.0374708304225577E-2</c:v>
                </c:pt>
                <c:pt idx="1">
                  <c:v>1.8682789767125508E-3</c:v>
                </c:pt>
                <c:pt idx="2">
                  <c:v>1.2187243040056653E-3</c:v>
                </c:pt>
                <c:pt idx="3">
                  <c:v>5.3382609588338752E-3</c:v>
                </c:pt>
                <c:pt idx="4">
                  <c:v>7.1479628305932807E-3</c:v>
                </c:pt>
                <c:pt idx="5">
                  <c:v>-7.5317564925199919E-4</c:v>
                </c:pt>
                <c:pt idx="6">
                  <c:v>-6.1748974474192071E-3</c:v>
                </c:pt>
                <c:pt idx="7">
                  <c:v>4.3463675743478395E-3</c:v>
                </c:pt>
                <c:pt idx="8">
                  <c:v>-5.5328850873500634E-3</c:v>
                </c:pt>
                <c:pt idx="9">
                  <c:v>5.8411214953350726E-5</c:v>
                </c:pt>
                <c:pt idx="10">
                  <c:v>4.8332457216284626E-3</c:v>
                </c:pt>
                <c:pt idx="11">
                  <c:v>7.4402383201337971E-3</c:v>
                </c:pt>
              </c:numCache>
            </c:numRef>
          </c:val>
          <c:smooth val="0"/>
          <c:extLst>
            <c:ext xmlns:c16="http://schemas.microsoft.com/office/drawing/2014/chart" uri="{C3380CC4-5D6E-409C-BE32-E72D297353CC}">
              <c16:uniqueId val="{00000000-237F-4E94-8E2B-1B6B09DC8B67}"/>
            </c:ext>
          </c:extLst>
        </c:ser>
        <c:dLbls>
          <c:showLegendKey val="0"/>
          <c:showVal val="1"/>
          <c:showCatName val="0"/>
          <c:showSerName val="0"/>
          <c:showPercent val="0"/>
          <c:showBubbleSize val="0"/>
        </c:dLbls>
        <c:smooth val="0"/>
        <c:axId val="872772351"/>
        <c:axId val="872768991"/>
      </c:lineChart>
      <c:catAx>
        <c:axId val="87277235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baseline="0">
                <a:solidFill>
                  <a:schemeClr val="tx1"/>
                </a:solidFill>
                <a:latin typeface="+mn-lt"/>
                <a:ea typeface="+mn-ea"/>
                <a:cs typeface="+mn-cs"/>
              </a:defRPr>
            </a:pPr>
            <a:endParaRPr lang="en-US"/>
          </a:p>
        </c:txPr>
        <c:crossAx val="872768991"/>
        <c:crosses val="autoZero"/>
        <c:auto val="1"/>
        <c:lblAlgn val="ctr"/>
        <c:lblOffset val="100"/>
        <c:noMultiLvlLbl val="0"/>
      </c:catAx>
      <c:valAx>
        <c:axId val="872768991"/>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solidFill>
                <a:latin typeface="+mn-lt"/>
                <a:ea typeface="+mn-ea"/>
                <a:cs typeface="+mn-cs"/>
              </a:defRPr>
            </a:pPr>
            <a:endParaRPr lang="en-US"/>
          </a:p>
        </c:txPr>
        <c:crossAx val="87277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00000"/>
                </a:solidFill>
              </a:rPr>
              <a:t>Category</a:t>
            </a:r>
            <a:r>
              <a:rPr lang="en-IN" baseline="0">
                <a:solidFill>
                  <a:srgbClr val="C00000"/>
                </a:solidFill>
              </a:rPr>
              <a:t> wise Contribution</a:t>
            </a:r>
            <a:endParaRPr lang="en-IN">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B65-4ED2-BC3B-D3AC229B99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65-4ED2-BC3B-D3AC229B99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8B65-4ED2-BC3B-D3AC229B99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8B65-4ED2-BC3B-D3AC229B99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D-8B65-4ED2-BC3B-D3AC229B99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65-4ED2-BC3B-D3AC229B991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C-8B65-4ED2-BC3B-D3AC229B991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A-8B65-4ED2-BC3B-D3AC229B991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B65-4ED2-BC3B-D3AC229B991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8-8B65-4ED2-BC3B-D3AC229B991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7-8B65-4ED2-BC3B-D3AC229B991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6-8B65-4ED2-BC3B-D3AC229B991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5-8B65-4ED2-BC3B-D3AC229B991D}"/>
              </c:ext>
            </c:extLst>
          </c:dPt>
          <c:dLbls>
            <c:dLbl>
              <c:idx val="0"/>
              <c:layout>
                <c:manualLayout>
                  <c:x val="-1.139096675415573E-2"/>
                  <c:y val="-1.24941673957421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65-4ED2-BC3B-D3AC229B991D}"/>
                </c:ext>
              </c:extLst>
            </c:dLbl>
            <c:dLbl>
              <c:idx val="1"/>
              <c:layout>
                <c:manualLayout>
                  <c:x val="2.9343832020997376E-3"/>
                  <c:y val="-4.32502187226596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65-4ED2-BC3B-D3AC229B991D}"/>
                </c:ext>
              </c:extLst>
            </c:dLbl>
            <c:dLbl>
              <c:idx val="2"/>
              <c:layout>
                <c:manualLayout>
                  <c:x val="2.4109361329833771E-2"/>
                  <c:y val="2.49752114319043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65-4ED2-BC3B-D3AC229B991D}"/>
                </c:ext>
              </c:extLst>
            </c:dLbl>
            <c:dLbl>
              <c:idx val="3"/>
              <c:layout>
                <c:manualLayout>
                  <c:x val="2.3151356080489939E-2"/>
                  <c:y val="3.063721201516477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65-4ED2-BC3B-D3AC229B991D}"/>
                </c:ext>
              </c:extLst>
            </c:dLbl>
            <c:dLbl>
              <c:idx val="4"/>
              <c:layout>
                <c:manualLayout>
                  <c:x val="-9.6152668416447946E-3"/>
                  <c:y val="5.38232720909886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B65-4ED2-BC3B-D3AC229B991D}"/>
                </c:ext>
              </c:extLst>
            </c:dLbl>
            <c:dLbl>
              <c:idx val="5"/>
              <c:layout>
                <c:manualLayout>
                  <c:x val="-2.7290573053368329E-2"/>
                  <c:y val="2.84554534849810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B65-4ED2-BC3B-D3AC229B991D}"/>
                </c:ext>
              </c:extLst>
            </c:dLbl>
            <c:dLbl>
              <c:idx val="6"/>
              <c:layout>
                <c:manualLayout>
                  <c:x val="-2.3342082239720036E-3"/>
                  <c:y val="2.86468358121901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B65-4ED2-BC3B-D3AC229B991D}"/>
                </c:ext>
              </c:extLst>
            </c:dLbl>
            <c:dLbl>
              <c:idx val="7"/>
              <c:layout>
                <c:manualLayout>
                  <c:x val="-1.8866688538932634E-2"/>
                  <c:y val="3.17122338874307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B65-4ED2-BC3B-D3AC229B991D}"/>
                </c:ext>
              </c:extLst>
            </c:dLbl>
            <c:dLbl>
              <c:idx val="8"/>
              <c:layout>
                <c:manualLayout>
                  <c:x val="-3.9183180227471567E-2"/>
                  <c:y val="-2.22357101195683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B65-4ED2-BC3B-D3AC229B991D}"/>
                </c:ext>
              </c:extLst>
            </c:dLbl>
            <c:dLbl>
              <c:idx val="9"/>
              <c:layout>
                <c:manualLayout>
                  <c:x val="3.6718066491688507E-3"/>
                  <c:y val="5.002551764362788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B65-4ED2-BC3B-D3AC229B991D}"/>
                </c:ext>
              </c:extLst>
            </c:dLbl>
            <c:dLbl>
              <c:idx val="10"/>
              <c:layout>
                <c:manualLayout>
                  <c:x val="-2.8706583552055992E-2"/>
                  <c:y val="2.51017060367454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65-4ED2-BC3B-D3AC229B991D}"/>
                </c:ext>
              </c:extLst>
            </c:dLbl>
            <c:dLbl>
              <c:idx val="11"/>
              <c:layout>
                <c:manualLayout>
                  <c:x val="-8.9060586176727911E-3"/>
                  <c:y val="-9.367526975794692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65-4ED2-BC3B-D3AC229B991D}"/>
                </c:ext>
              </c:extLst>
            </c:dLbl>
            <c:dLbl>
              <c:idx val="12"/>
              <c:layout>
                <c:manualLayout>
                  <c:x val="2.4530511811023621E-2"/>
                  <c:y val="-2.59561825605132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65-4ED2-BC3B-D3AC229B99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3'!$E$23:$Q$23</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pt idx="12">
                  <c:v>Food and beverages</c:v>
                </c:pt>
              </c:strCache>
            </c:strRef>
          </c:cat>
          <c:val>
            <c:numRef>
              <c:f>'Problem 3'!$E$36:$Q$36</c:f>
              <c:numCache>
                <c:formatCode>0.00%</c:formatCode>
                <c:ptCount val="13"/>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pt idx="12">
                  <c:v>2.4013722126929607E-2</c:v>
                </c:pt>
              </c:numCache>
            </c:numRef>
          </c:val>
          <c:extLst>
            <c:ext xmlns:c16="http://schemas.microsoft.com/office/drawing/2014/chart" uri="{C3380CC4-5D6E-409C-BE32-E72D297353CC}">
              <c16:uniqueId val="{00000000-8B65-4ED2-BC3B-D3AC229B991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418919510061246"/>
          <c:y val="0.40645487022455534"/>
          <c:w val="0.33914413823272094"/>
          <c:h val="0.53935841353164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00000"/>
                </a:solidFill>
              </a:rPr>
              <a:t>Impact</a:t>
            </a:r>
            <a:r>
              <a:rPr lang="en-IN" baseline="0">
                <a:solidFill>
                  <a:srgbClr val="C00000"/>
                </a:solidFill>
              </a:rPr>
              <a:t> of COVID-19 on Inflation</a:t>
            </a:r>
            <a:r>
              <a:rPr lang="en-IN">
                <a:solidFill>
                  <a:srgbClr val="C00000"/>
                </a:solidFill>
              </a:rPr>
              <a:t> for Rural areas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extLst>
                <c:ext xmlns:c15="http://schemas.microsoft.com/office/drawing/2012/chart" uri="{02D57815-91ED-43cb-92C2-25804820EDAC}">
                  <c15:fullRef>
                    <c15:sqref>'Problem 4'!$T$5:$T$6</c15:sqref>
                  </c15:fullRef>
                  <c15:levelRef>
                    <c15:sqref>'Problem 4'!$T$6</c15:sqref>
                  </c15:levelRef>
                </c:ext>
              </c:extLst>
              <c:f>'Problem 4'!$T$6</c:f>
              <c:strCache>
                <c:ptCount val="2"/>
                <c:pt idx="0">
                  <c:v>Inflation % for Rural areas</c:v>
                </c:pt>
                <c:pt idx="1">
                  <c:v>Health</c:v>
                </c:pt>
              </c:strCache>
            </c:strRef>
          </c:tx>
          <c:spPr>
            <a:solidFill>
              <a:schemeClr val="accent1"/>
            </a:solidFill>
            <a:ln>
              <a:noFill/>
            </a:ln>
            <a:effectLst/>
          </c:spPr>
          <c:invertIfNegative val="0"/>
          <c:cat>
            <c:numRef>
              <c:f>'Problem 4'!$S$7:$S$12</c:f>
              <c:numCache>
                <c:formatCode>General</c:formatCode>
                <c:ptCount val="6"/>
                <c:pt idx="0">
                  <c:v>2018</c:v>
                </c:pt>
                <c:pt idx="1">
                  <c:v>2019</c:v>
                </c:pt>
                <c:pt idx="2">
                  <c:v>2020</c:v>
                </c:pt>
                <c:pt idx="3">
                  <c:v>2021</c:v>
                </c:pt>
                <c:pt idx="4">
                  <c:v>2022</c:v>
                </c:pt>
                <c:pt idx="5">
                  <c:v>2023</c:v>
                </c:pt>
              </c:numCache>
            </c:numRef>
          </c:cat>
          <c:val>
            <c:numRef>
              <c:f>'Problem 4'!$T$7:$T$12</c:f>
              <c:numCache>
                <c:formatCode>0.00%</c:formatCode>
                <c:ptCount val="6"/>
                <c:pt idx="0">
                  <c:v>4.6707503828483876E-2</c:v>
                </c:pt>
                <c:pt idx="1">
                  <c:v>0.10021945866861755</c:v>
                </c:pt>
                <c:pt idx="2">
                  <c:v>4.1888297872340309E-2</c:v>
                </c:pt>
                <c:pt idx="3">
                  <c:v>5.0414805360561622E-2</c:v>
                </c:pt>
                <c:pt idx="4">
                  <c:v>6.9258809234507931E-2</c:v>
                </c:pt>
                <c:pt idx="5">
                  <c:v>6.0227272727272692E-2</c:v>
                </c:pt>
              </c:numCache>
            </c:numRef>
          </c:val>
          <c:extLst>
            <c:ext xmlns:c16="http://schemas.microsoft.com/office/drawing/2014/chart" uri="{C3380CC4-5D6E-409C-BE32-E72D297353CC}">
              <c16:uniqueId val="{00000000-B894-410E-8F76-4F6BA2148086}"/>
            </c:ext>
          </c:extLst>
        </c:ser>
        <c:ser>
          <c:idx val="1"/>
          <c:order val="1"/>
          <c:tx>
            <c:strRef>
              <c:extLst>
                <c:ext xmlns:c15="http://schemas.microsoft.com/office/drawing/2012/chart" uri="{02D57815-91ED-43cb-92C2-25804820EDAC}">
                  <c15:fullRef>
                    <c15:sqref>'Problem 4'!$U$5:$U$6</c15:sqref>
                  </c15:fullRef>
                  <c15:levelRef>
                    <c15:sqref>'Problem 4'!$U$6</c15:sqref>
                  </c15:levelRef>
                </c:ext>
              </c:extLst>
              <c:f>'Problem 4'!$U$6</c:f>
              <c:strCache>
                <c:ptCount val="2"/>
                <c:pt idx="0">
                  <c:v>Inflation % for Rural areas</c:v>
                </c:pt>
                <c:pt idx="1">
                  <c:v>Food and Beverages</c:v>
                </c:pt>
              </c:strCache>
            </c:strRef>
          </c:tx>
          <c:spPr>
            <a:solidFill>
              <a:schemeClr val="accent2"/>
            </a:solidFill>
            <a:ln>
              <a:noFill/>
            </a:ln>
            <a:effectLst/>
          </c:spPr>
          <c:invertIfNegative val="0"/>
          <c:cat>
            <c:numRef>
              <c:f>'Problem 4'!$S$7:$S$12</c:f>
              <c:numCache>
                <c:formatCode>General</c:formatCode>
                <c:ptCount val="6"/>
                <c:pt idx="0">
                  <c:v>2018</c:v>
                </c:pt>
                <c:pt idx="1">
                  <c:v>2019</c:v>
                </c:pt>
                <c:pt idx="2">
                  <c:v>2020</c:v>
                </c:pt>
                <c:pt idx="3">
                  <c:v>2021</c:v>
                </c:pt>
                <c:pt idx="4">
                  <c:v>2022</c:v>
                </c:pt>
                <c:pt idx="5">
                  <c:v>2023</c:v>
                </c:pt>
              </c:numCache>
            </c:numRef>
          </c:cat>
          <c:val>
            <c:numRef>
              <c:f>'Problem 4'!$U$7:$U$12</c:f>
              <c:numCache>
                <c:formatCode>0.00%</c:formatCode>
                <c:ptCount val="6"/>
                <c:pt idx="0">
                  <c:v>3.0951692218686454E-2</c:v>
                </c:pt>
                <c:pt idx="1">
                  <c:v>-1.1672278338944726E-2</c:v>
                </c:pt>
                <c:pt idx="2">
                  <c:v>7.5743811037928335E-2</c:v>
                </c:pt>
                <c:pt idx="3">
                  <c:v>6.919666420352602E-2</c:v>
                </c:pt>
                <c:pt idx="4">
                  <c:v>7.5726909216567273E-2</c:v>
                </c:pt>
                <c:pt idx="5">
                  <c:v>3.9787068055619206E-2</c:v>
                </c:pt>
              </c:numCache>
            </c:numRef>
          </c:val>
          <c:extLst>
            <c:ext xmlns:c16="http://schemas.microsoft.com/office/drawing/2014/chart" uri="{C3380CC4-5D6E-409C-BE32-E72D297353CC}">
              <c16:uniqueId val="{00000001-B894-410E-8F76-4F6BA2148086}"/>
            </c:ext>
          </c:extLst>
        </c:ser>
        <c:ser>
          <c:idx val="2"/>
          <c:order val="2"/>
          <c:tx>
            <c:strRef>
              <c:extLst>
                <c:ext xmlns:c15="http://schemas.microsoft.com/office/drawing/2012/chart" uri="{02D57815-91ED-43cb-92C2-25804820EDAC}">
                  <c15:fullRef>
                    <c15:sqref>'Problem 4'!$V$5:$V$6</c15:sqref>
                  </c15:fullRef>
                  <c15:levelRef>
                    <c15:sqref>'Problem 4'!$V$6</c15:sqref>
                  </c15:levelRef>
                </c:ext>
              </c:extLst>
              <c:f>'Problem 4'!$V$6</c:f>
              <c:strCache>
                <c:ptCount val="2"/>
                <c:pt idx="0">
                  <c:v>Inflation % for Rural areas</c:v>
                </c:pt>
                <c:pt idx="1">
                  <c:v>Essential Services</c:v>
                </c:pt>
              </c:strCache>
            </c:strRef>
          </c:tx>
          <c:spPr>
            <a:solidFill>
              <a:schemeClr val="accent3"/>
            </a:solidFill>
            <a:ln>
              <a:noFill/>
            </a:ln>
            <a:effectLst/>
          </c:spPr>
          <c:invertIfNegative val="0"/>
          <c:cat>
            <c:numRef>
              <c:f>'Problem 4'!$S$7:$S$12</c:f>
              <c:numCache>
                <c:formatCode>General</c:formatCode>
                <c:ptCount val="6"/>
                <c:pt idx="0">
                  <c:v>2018</c:v>
                </c:pt>
                <c:pt idx="1">
                  <c:v>2019</c:v>
                </c:pt>
                <c:pt idx="2">
                  <c:v>2020</c:v>
                </c:pt>
                <c:pt idx="3">
                  <c:v>2021</c:v>
                </c:pt>
                <c:pt idx="4">
                  <c:v>2022</c:v>
                </c:pt>
                <c:pt idx="5">
                  <c:v>2023</c:v>
                </c:pt>
              </c:numCache>
            </c:numRef>
          </c:cat>
          <c:val>
            <c:numRef>
              <c:f>'Problem 4'!$V$7:$V$12</c:f>
              <c:numCache>
                <c:formatCode>0.00%</c:formatCode>
                <c:ptCount val="6"/>
                <c:pt idx="0">
                  <c:v>4.6604527296937419E-2</c:v>
                </c:pt>
                <c:pt idx="1">
                  <c:v>5.8778625954198534E-2</c:v>
                </c:pt>
                <c:pt idx="2">
                  <c:v>4.686373467916366E-2</c:v>
                </c:pt>
                <c:pt idx="3">
                  <c:v>7.0707070707070732E-2</c:v>
                </c:pt>
                <c:pt idx="4">
                  <c:v>6.5394511149228132E-2</c:v>
                </c:pt>
                <c:pt idx="5">
                  <c:v>4.5884483799557271E-2</c:v>
                </c:pt>
              </c:numCache>
            </c:numRef>
          </c:val>
          <c:extLst>
            <c:ext xmlns:c16="http://schemas.microsoft.com/office/drawing/2014/chart" uri="{C3380CC4-5D6E-409C-BE32-E72D297353CC}">
              <c16:uniqueId val="{00000002-B894-410E-8F76-4F6BA2148086}"/>
            </c:ext>
          </c:extLst>
        </c:ser>
        <c:dLbls>
          <c:showLegendKey val="0"/>
          <c:showVal val="0"/>
          <c:showCatName val="0"/>
          <c:showSerName val="0"/>
          <c:showPercent val="0"/>
          <c:showBubbleSize val="0"/>
        </c:dLbls>
        <c:gapWidth val="219"/>
        <c:overlap val="-27"/>
        <c:axId val="88879728"/>
        <c:axId val="88875888"/>
      </c:barChart>
      <c:catAx>
        <c:axId val="8887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5888"/>
        <c:crosses val="autoZero"/>
        <c:auto val="1"/>
        <c:lblAlgn val="ctr"/>
        <c:lblOffset val="100"/>
        <c:noMultiLvlLbl val="0"/>
      </c:catAx>
      <c:valAx>
        <c:axId val="88875888"/>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9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C00000"/>
                </a:solidFill>
              </a:rPr>
              <a:t>Impact of COVID-19 on Inflation </a:t>
            </a:r>
            <a:r>
              <a:rPr lang="en-IN" sz="1400">
                <a:solidFill>
                  <a:srgbClr val="C00000"/>
                </a:solidFill>
              </a:rPr>
              <a:t>for Urban areas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03679915795147"/>
          <c:y val="0.23780721482564462"/>
          <c:w val="0.84584377636143715"/>
          <c:h val="0.52489082382811236"/>
        </c:manualLayout>
      </c:layout>
      <c:barChart>
        <c:barDir val="col"/>
        <c:grouping val="clustered"/>
        <c:varyColors val="0"/>
        <c:ser>
          <c:idx val="0"/>
          <c:order val="0"/>
          <c:tx>
            <c:strRef>
              <c:extLst>
                <c:ext xmlns:c15="http://schemas.microsoft.com/office/drawing/2012/chart" uri="{02D57815-91ED-43cb-92C2-25804820EDAC}">
                  <c15:fullRef>
                    <c15:sqref>'Problem 4'!$T$18:$T$19</c15:sqref>
                  </c15:fullRef>
                  <c15:levelRef>
                    <c15:sqref>'Problem 4'!$T$19</c15:sqref>
                  </c15:levelRef>
                </c:ext>
              </c:extLst>
              <c:f>'Problem 4'!$T$19</c:f>
              <c:strCache>
                <c:ptCount val="2"/>
                <c:pt idx="0">
                  <c:v>Inflation % for Urban areas</c:v>
                </c:pt>
                <c:pt idx="1">
                  <c:v>Health</c:v>
                </c:pt>
              </c:strCache>
            </c:strRef>
          </c:tx>
          <c:spPr>
            <a:solidFill>
              <a:schemeClr val="accent1"/>
            </a:solidFill>
            <a:ln>
              <a:noFill/>
            </a:ln>
            <a:effectLst/>
          </c:spPr>
          <c:invertIfNegative val="0"/>
          <c:cat>
            <c:numRef>
              <c:f>'Problem 4'!$S$20:$S$25</c:f>
              <c:numCache>
                <c:formatCode>General</c:formatCode>
                <c:ptCount val="6"/>
                <c:pt idx="0">
                  <c:v>2018</c:v>
                </c:pt>
                <c:pt idx="1">
                  <c:v>2019</c:v>
                </c:pt>
                <c:pt idx="2">
                  <c:v>2020</c:v>
                </c:pt>
                <c:pt idx="3">
                  <c:v>2021</c:v>
                </c:pt>
                <c:pt idx="4">
                  <c:v>2022</c:v>
                </c:pt>
                <c:pt idx="5">
                  <c:v>2023</c:v>
                </c:pt>
              </c:numCache>
            </c:numRef>
          </c:cat>
          <c:val>
            <c:numRef>
              <c:f>'Problem 4'!$T$20:$T$25</c:f>
              <c:numCache>
                <c:formatCode>0.00%</c:formatCode>
                <c:ptCount val="6"/>
                <c:pt idx="0">
                  <c:v>6.0113728675873321E-2</c:v>
                </c:pt>
                <c:pt idx="1">
                  <c:v>6.6666666666666582E-2</c:v>
                </c:pt>
                <c:pt idx="2">
                  <c:v>4.1666666666666755E-2</c:v>
                </c:pt>
                <c:pt idx="3">
                  <c:v>8.2068965517241424E-2</c:v>
                </c:pt>
                <c:pt idx="4">
                  <c:v>7.2020395156150302E-2</c:v>
                </c:pt>
                <c:pt idx="5">
                  <c:v>7.4910820451843191E-2</c:v>
                </c:pt>
              </c:numCache>
            </c:numRef>
          </c:val>
          <c:extLst>
            <c:ext xmlns:c16="http://schemas.microsoft.com/office/drawing/2014/chart" uri="{C3380CC4-5D6E-409C-BE32-E72D297353CC}">
              <c16:uniqueId val="{00000000-D484-4AA0-9834-62934A4DF1A4}"/>
            </c:ext>
          </c:extLst>
        </c:ser>
        <c:ser>
          <c:idx val="1"/>
          <c:order val="1"/>
          <c:tx>
            <c:strRef>
              <c:extLst>
                <c:ext xmlns:c15="http://schemas.microsoft.com/office/drawing/2012/chart" uri="{02D57815-91ED-43cb-92C2-25804820EDAC}">
                  <c15:fullRef>
                    <c15:sqref>'Problem 4'!$U$18:$U$19</c15:sqref>
                  </c15:fullRef>
                  <c15:levelRef>
                    <c15:sqref>'Problem 4'!$U$19</c15:sqref>
                  </c15:levelRef>
                </c:ext>
              </c:extLst>
              <c:f>'Problem 4'!$U$19</c:f>
              <c:strCache>
                <c:ptCount val="2"/>
                <c:pt idx="0">
                  <c:v>Inflation % for Urban areas</c:v>
                </c:pt>
                <c:pt idx="1">
                  <c:v>Food and Beverages</c:v>
                </c:pt>
              </c:strCache>
            </c:strRef>
          </c:tx>
          <c:spPr>
            <a:solidFill>
              <a:schemeClr val="accent2"/>
            </a:solidFill>
            <a:ln>
              <a:noFill/>
            </a:ln>
            <a:effectLst/>
          </c:spPr>
          <c:invertIfNegative val="0"/>
          <c:cat>
            <c:numRef>
              <c:f>'Problem 4'!$S$20:$S$25</c:f>
              <c:numCache>
                <c:formatCode>General</c:formatCode>
                <c:ptCount val="6"/>
                <c:pt idx="0">
                  <c:v>2018</c:v>
                </c:pt>
                <c:pt idx="1">
                  <c:v>2019</c:v>
                </c:pt>
                <c:pt idx="2">
                  <c:v>2020</c:v>
                </c:pt>
                <c:pt idx="3">
                  <c:v>2021</c:v>
                </c:pt>
                <c:pt idx="4">
                  <c:v>2022</c:v>
                </c:pt>
                <c:pt idx="5">
                  <c:v>2023</c:v>
                </c:pt>
              </c:numCache>
            </c:numRef>
          </c:cat>
          <c:val>
            <c:numRef>
              <c:f>'Problem 4'!$U$20:$U$25</c:f>
              <c:numCache>
                <c:formatCode>0.00%</c:formatCode>
                <c:ptCount val="6"/>
                <c:pt idx="0">
                  <c:v>5.7454417541186508E-3</c:v>
                </c:pt>
                <c:pt idx="1">
                  <c:v>3.0836490819003259E-2</c:v>
                </c:pt>
                <c:pt idx="2">
                  <c:v>7.3569328206288115E-2</c:v>
                </c:pt>
                <c:pt idx="3">
                  <c:v>8.7437450618909424E-2</c:v>
                </c:pt>
                <c:pt idx="4">
                  <c:v>6.3841123758779691E-2</c:v>
                </c:pt>
                <c:pt idx="5">
                  <c:v>4.8763830077858172E-2</c:v>
                </c:pt>
              </c:numCache>
            </c:numRef>
          </c:val>
          <c:extLst>
            <c:ext xmlns:c16="http://schemas.microsoft.com/office/drawing/2014/chart" uri="{C3380CC4-5D6E-409C-BE32-E72D297353CC}">
              <c16:uniqueId val="{00000001-D484-4AA0-9834-62934A4DF1A4}"/>
            </c:ext>
          </c:extLst>
        </c:ser>
        <c:ser>
          <c:idx val="2"/>
          <c:order val="2"/>
          <c:tx>
            <c:strRef>
              <c:extLst>
                <c:ext xmlns:c15="http://schemas.microsoft.com/office/drawing/2012/chart" uri="{02D57815-91ED-43cb-92C2-25804820EDAC}">
                  <c15:fullRef>
                    <c15:sqref>'Problem 4'!$V$18:$V$19</c15:sqref>
                  </c15:fullRef>
                  <c15:levelRef>
                    <c15:sqref>'Problem 4'!$V$19</c15:sqref>
                  </c15:levelRef>
                </c:ext>
              </c:extLst>
              <c:f>'Problem 4'!$V$19</c:f>
              <c:strCache>
                <c:ptCount val="2"/>
                <c:pt idx="0">
                  <c:v>Inflation % for Urban areas</c:v>
                </c:pt>
                <c:pt idx="1">
                  <c:v>Essential Services</c:v>
                </c:pt>
              </c:strCache>
            </c:strRef>
          </c:tx>
          <c:spPr>
            <a:solidFill>
              <a:schemeClr val="accent3"/>
            </a:solidFill>
            <a:ln>
              <a:noFill/>
            </a:ln>
            <a:effectLst/>
          </c:spPr>
          <c:invertIfNegative val="0"/>
          <c:cat>
            <c:numRef>
              <c:f>'Problem 4'!$S$20:$S$25</c:f>
              <c:numCache>
                <c:formatCode>General</c:formatCode>
                <c:ptCount val="6"/>
                <c:pt idx="0">
                  <c:v>2018</c:v>
                </c:pt>
                <c:pt idx="1">
                  <c:v>2019</c:v>
                </c:pt>
                <c:pt idx="2">
                  <c:v>2020</c:v>
                </c:pt>
                <c:pt idx="3">
                  <c:v>2021</c:v>
                </c:pt>
                <c:pt idx="4">
                  <c:v>2022</c:v>
                </c:pt>
                <c:pt idx="5">
                  <c:v>2023</c:v>
                </c:pt>
              </c:numCache>
            </c:numRef>
          </c:cat>
          <c:val>
            <c:numRef>
              <c:f>'Problem 4'!$V$20:$V$25</c:f>
              <c:numCache>
                <c:formatCode>0.00%</c:formatCode>
                <c:ptCount val="6"/>
                <c:pt idx="0">
                  <c:v>3.0782029950083098E-2</c:v>
                </c:pt>
                <c:pt idx="1">
                  <c:v>3.7664783427495449E-2</c:v>
                </c:pt>
                <c:pt idx="2">
                  <c:v>4.0186673580502832E-2</c:v>
                </c:pt>
                <c:pt idx="3">
                  <c:v>9.7457627118643989E-2</c:v>
                </c:pt>
                <c:pt idx="4">
                  <c:v>8.0172609584374457E-2</c:v>
                </c:pt>
                <c:pt idx="5">
                  <c:v>4.7518923465096764E-2</c:v>
                </c:pt>
              </c:numCache>
            </c:numRef>
          </c:val>
          <c:extLst>
            <c:ext xmlns:c16="http://schemas.microsoft.com/office/drawing/2014/chart" uri="{C3380CC4-5D6E-409C-BE32-E72D297353CC}">
              <c16:uniqueId val="{00000002-D484-4AA0-9834-62934A4DF1A4}"/>
            </c:ext>
          </c:extLst>
        </c:ser>
        <c:dLbls>
          <c:showLegendKey val="0"/>
          <c:showVal val="0"/>
          <c:showCatName val="0"/>
          <c:showSerName val="0"/>
          <c:showPercent val="0"/>
          <c:showBubbleSize val="0"/>
        </c:dLbls>
        <c:gapWidth val="219"/>
        <c:overlap val="-27"/>
        <c:axId val="319652560"/>
        <c:axId val="319653520"/>
      </c:barChart>
      <c:catAx>
        <c:axId val="3196525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53520"/>
        <c:crosses val="autoZero"/>
        <c:auto val="1"/>
        <c:lblAlgn val="ctr"/>
        <c:lblOffset val="100"/>
        <c:noMultiLvlLbl val="0"/>
      </c:catAx>
      <c:valAx>
        <c:axId val="31965352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5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C00000"/>
                </a:solidFill>
              </a:rPr>
              <a:t>Impact of COVID-19 on Inflation </a:t>
            </a:r>
            <a:r>
              <a:rPr lang="en-IN" sz="1400">
                <a:solidFill>
                  <a:srgbClr val="C00000"/>
                </a:solidFill>
              </a:rPr>
              <a:t>for Urban+Rural areas</a:t>
            </a:r>
            <a:endParaRPr lang="en-IN" sz="1800">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extLst>
                <c:ext xmlns:c15="http://schemas.microsoft.com/office/drawing/2012/chart" uri="{02D57815-91ED-43cb-92C2-25804820EDAC}">
                  <c15:fullRef>
                    <c15:sqref>'Problem 4'!$T$30:$T$31</c15:sqref>
                  </c15:fullRef>
                  <c15:levelRef>
                    <c15:sqref>'Problem 4'!$T$31</c15:sqref>
                  </c15:levelRef>
                </c:ext>
              </c:extLst>
              <c:f>'Problem 4'!$T$31</c:f>
              <c:strCache>
                <c:ptCount val="2"/>
                <c:pt idx="0">
                  <c:v>Inflation % for Urban+Rural areas</c:v>
                </c:pt>
                <c:pt idx="1">
                  <c:v>Health</c:v>
                </c:pt>
              </c:strCache>
            </c:strRef>
          </c:tx>
          <c:spPr>
            <a:solidFill>
              <a:schemeClr val="accent1"/>
            </a:solidFill>
            <a:ln>
              <a:noFill/>
            </a:ln>
            <a:effectLst/>
          </c:spPr>
          <c:invertIfNegative val="0"/>
          <c:cat>
            <c:numRef>
              <c:f>'Problem 4'!$S$32:$S$37</c:f>
              <c:numCache>
                <c:formatCode>General</c:formatCode>
                <c:ptCount val="6"/>
                <c:pt idx="0">
                  <c:v>2018</c:v>
                </c:pt>
                <c:pt idx="1">
                  <c:v>2019</c:v>
                </c:pt>
                <c:pt idx="2">
                  <c:v>2020</c:v>
                </c:pt>
                <c:pt idx="3">
                  <c:v>2021</c:v>
                </c:pt>
                <c:pt idx="4">
                  <c:v>2022</c:v>
                </c:pt>
                <c:pt idx="5">
                  <c:v>2023</c:v>
                </c:pt>
              </c:numCache>
            </c:numRef>
          </c:cat>
          <c:val>
            <c:numRef>
              <c:f>'Problem 4'!$T$32:$T$37</c:f>
              <c:numCache>
                <c:formatCode>0.00%</c:formatCode>
                <c:ptCount val="6"/>
                <c:pt idx="0">
                  <c:v>5.0860719874804491E-2</c:v>
                </c:pt>
                <c:pt idx="1">
                  <c:v>8.8607594936708681E-2</c:v>
                </c:pt>
                <c:pt idx="2">
                  <c:v>4.1723666210670474E-2</c:v>
                </c:pt>
                <c:pt idx="3">
                  <c:v>6.1720288903479817E-2</c:v>
                </c:pt>
                <c:pt idx="4">
                  <c:v>6.9882498453927105E-2</c:v>
                </c:pt>
                <c:pt idx="5">
                  <c:v>6.589595375722547E-2</c:v>
                </c:pt>
              </c:numCache>
            </c:numRef>
          </c:val>
          <c:extLst>
            <c:ext xmlns:c16="http://schemas.microsoft.com/office/drawing/2014/chart" uri="{C3380CC4-5D6E-409C-BE32-E72D297353CC}">
              <c16:uniqueId val="{00000000-0ED7-4276-A807-A2114BC59B1B}"/>
            </c:ext>
          </c:extLst>
        </c:ser>
        <c:ser>
          <c:idx val="1"/>
          <c:order val="1"/>
          <c:tx>
            <c:strRef>
              <c:extLst>
                <c:ext xmlns:c15="http://schemas.microsoft.com/office/drawing/2012/chart" uri="{02D57815-91ED-43cb-92C2-25804820EDAC}">
                  <c15:fullRef>
                    <c15:sqref>'Problem 4'!$U$30:$U$31</c15:sqref>
                  </c15:fullRef>
                  <c15:levelRef>
                    <c15:sqref>'Problem 4'!$U$31</c15:sqref>
                  </c15:levelRef>
                </c:ext>
              </c:extLst>
              <c:f>'Problem 4'!$U$31</c:f>
              <c:strCache>
                <c:ptCount val="2"/>
                <c:pt idx="0">
                  <c:v>Inflation % for Urban+Rural areas</c:v>
                </c:pt>
                <c:pt idx="1">
                  <c:v>Food and Beverages</c:v>
                </c:pt>
              </c:strCache>
            </c:strRef>
          </c:tx>
          <c:spPr>
            <a:solidFill>
              <a:schemeClr val="accent2"/>
            </a:solidFill>
            <a:ln>
              <a:noFill/>
            </a:ln>
            <a:effectLst/>
          </c:spPr>
          <c:invertIfNegative val="0"/>
          <c:cat>
            <c:numRef>
              <c:f>'Problem 4'!$S$32:$S$37</c:f>
              <c:numCache>
                <c:formatCode>General</c:formatCode>
                <c:ptCount val="6"/>
                <c:pt idx="0">
                  <c:v>2018</c:v>
                </c:pt>
                <c:pt idx="1">
                  <c:v>2019</c:v>
                </c:pt>
                <c:pt idx="2">
                  <c:v>2020</c:v>
                </c:pt>
                <c:pt idx="3">
                  <c:v>2021</c:v>
                </c:pt>
                <c:pt idx="4">
                  <c:v>2022</c:v>
                </c:pt>
                <c:pt idx="5">
                  <c:v>2023</c:v>
                </c:pt>
              </c:numCache>
            </c:numRef>
          </c:cat>
          <c:val>
            <c:numRef>
              <c:f>'Problem 4'!$U$32:$U$37</c:f>
              <c:numCache>
                <c:formatCode>0.00%</c:formatCode>
                <c:ptCount val="6"/>
                <c:pt idx="0">
                  <c:v>2.1583570888358779E-2</c:v>
                </c:pt>
                <c:pt idx="1">
                  <c:v>3.929384965831487E-3</c:v>
                </c:pt>
                <c:pt idx="2">
                  <c:v>7.516024731975722E-2</c:v>
                </c:pt>
                <c:pt idx="3">
                  <c:v>7.5973409306742512E-2</c:v>
                </c:pt>
                <c:pt idx="4">
                  <c:v>7.1001274884770232E-2</c:v>
                </c:pt>
                <c:pt idx="5">
                  <c:v>4.3494185514146841E-2</c:v>
                </c:pt>
              </c:numCache>
            </c:numRef>
          </c:val>
          <c:extLst>
            <c:ext xmlns:c16="http://schemas.microsoft.com/office/drawing/2014/chart" uri="{C3380CC4-5D6E-409C-BE32-E72D297353CC}">
              <c16:uniqueId val="{00000001-0ED7-4276-A807-A2114BC59B1B}"/>
            </c:ext>
          </c:extLst>
        </c:ser>
        <c:ser>
          <c:idx val="2"/>
          <c:order val="2"/>
          <c:tx>
            <c:strRef>
              <c:extLst>
                <c:ext xmlns:c15="http://schemas.microsoft.com/office/drawing/2012/chart" uri="{02D57815-91ED-43cb-92C2-25804820EDAC}">
                  <c15:fullRef>
                    <c15:sqref>'Problem 4'!$V$30:$V$31</c15:sqref>
                  </c15:fullRef>
                  <c15:levelRef>
                    <c15:sqref>'Problem 4'!$V$31</c15:sqref>
                  </c15:levelRef>
                </c:ext>
              </c:extLst>
              <c:f>'Problem 4'!$V$31</c:f>
              <c:strCache>
                <c:ptCount val="2"/>
                <c:pt idx="0">
                  <c:v>Inflation % for Urban+Rural areas</c:v>
                </c:pt>
                <c:pt idx="1">
                  <c:v>Essential Services</c:v>
                </c:pt>
              </c:strCache>
            </c:strRef>
          </c:tx>
          <c:spPr>
            <a:solidFill>
              <a:schemeClr val="accent3"/>
            </a:solidFill>
            <a:ln>
              <a:noFill/>
            </a:ln>
            <a:effectLst/>
          </c:spPr>
          <c:invertIfNegative val="0"/>
          <c:cat>
            <c:numRef>
              <c:f>'Problem 4'!$S$32:$S$37</c:f>
              <c:numCache>
                <c:formatCode>General</c:formatCode>
                <c:ptCount val="6"/>
                <c:pt idx="0">
                  <c:v>2018</c:v>
                </c:pt>
                <c:pt idx="1">
                  <c:v>2019</c:v>
                </c:pt>
                <c:pt idx="2">
                  <c:v>2020</c:v>
                </c:pt>
                <c:pt idx="3">
                  <c:v>2021</c:v>
                </c:pt>
                <c:pt idx="4">
                  <c:v>2022</c:v>
                </c:pt>
                <c:pt idx="5">
                  <c:v>2023</c:v>
                </c:pt>
              </c:numCache>
            </c:numRef>
          </c:cat>
          <c:val>
            <c:numRef>
              <c:f>'Problem 4'!$V$32:$V$37</c:f>
              <c:numCache>
                <c:formatCode>0.00%</c:formatCode>
                <c:ptCount val="6"/>
                <c:pt idx="0">
                  <c:v>3.8074517269513344E-2</c:v>
                </c:pt>
                <c:pt idx="1">
                  <c:v>4.7943411055802715E-2</c:v>
                </c:pt>
                <c:pt idx="2">
                  <c:v>4.3500000000000233E-2</c:v>
                </c:pt>
                <c:pt idx="3">
                  <c:v>8.4331576425490967E-2</c:v>
                </c:pt>
                <c:pt idx="4">
                  <c:v>7.3353954927088169E-2</c:v>
                </c:pt>
                <c:pt idx="5">
                  <c:v>4.6932894195141933E-2</c:v>
                </c:pt>
              </c:numCache>
            </c:numRef>
          </c:val>
          <c:extLst>
            <c:ext xmlns:c16="http://schemas.microsoft.com/office/drawing/2014/chart" uri="{C3380CC4-5D6E-409C-BE32-E72D297353CC}">
              <c16:uniqueId val="{00000002-0ED7-4276-A807-A2114BC59B1B}"/>
            </c:ext>
          </c:extLst>
        </c:ser>
        <c:dLbls>
          <c:showLegendKey val="0"/>
          <c:showVal val="0"/>
          <c:showCatName val="0"/>
          <c:showSerName val="0"/>
          <c:showPercent val="0"/>
          <c:showBubbleSize val="0"/>
        </c:dLbls>
        <c:gapWidth val="219"/>
        <c:overlap val="-27"/>
        <c:axId val="319603120"/>
        <c:axId val="319603600"/>
      </c:barChart>
      <c:catAx>
        <c:axId val="31960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03600"/>
        <c:crosses val="autoZero"/>
        <c:auto val="1"/>
        <c:lblAlgn val="ctr"/>
        <c:lblOffset val="100"/>
        <c:noMultiLvlLbl val="0"/>
      </c:catAx>
      <c:valAx>
        <c:axId val="31960360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0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a:solidFill>
                  <a:srgbClr val="C00000"/>
                </a:solidFill>
              </a:rPr>
              <a:t>Correlation</a:t>
            </a:r>
            <a:r>
              <a:rPr lang="en-IN" sz="1600" b="0" baseline="0">
                <a:solidFill>
                  <a:srgbClr val="C00000"/>
                </a:solidFill>
              </a:rPr>
              <a:t> of Categories with Crude Oil</a:t>
            </a:r>
            <a:endParaRPr lang="en-IN" sz="1600" b="0">
              <a:solidFill>
                <a:srgbClr val="C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C00000"/>
            </a:solidFill>
            <a:ln>
              <a:noFill/>
            </a:ln>
            <a:effectLst/>
          </c:spPr>
          <c:invertIfNegative val="0"/>
          <c:cat>
            <c:strRef>
              <c:f>'Problem 5'!$A$103:$A$128</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Persol care and effects</c:v>
                </c:pt>
                <c:pt idx="22">
                  <c:v>Education</c:v>
                </c:pt>
                <c:pt idx="23">
                  <c:v>Recreation and amusement</c:v>
                </c:pt>
                <c:pt idx="24">
                  <c:v>Transport and communication</c:v>
                </c:pt>
                <c:pt idx="25">
                  <c:v>Miscellaneous</c:v>
                </c:pt>
              </c:strCache>
            </c:strRef>
          </c:cat>
          <c:val>
            <c:numRef>
              <c:f>'Problem 5'!$D$103:$D$128</c:f>
              <c:numCache>
                <c:formatCode>0.00</c:formatCode>
                <c:ptCount val="26"/>
                <c:pt idx="0">
                  <c:v>9.8634814329868925E-2</c:v>
                </c:pt>
                <c:pt idx="1">
                  <c:v>0.67992538398614677</c:v>
                </c:pt>
                <c:pt idx="2">
                  <c:v>-0.3315438046505565</c:v>
                </c:pt>
                <c:pt idx="3">
                  <c:v>0.18126116174418991</c:v>
                </c:pt>
                <c:pt idx="4">
                  <c:v>0.75879920089049413</c:v>
                </c:pt>
                <c:pt idx="5">
                  <c:v>0.29443288902942161</c:v>
                </c:pt>
                <c:pt idx="6">
                  <c:v>0.44913950476419168</c:v>
                </c:pt>
                <c:pt idx="7">
                  <c:v>-0.12939252473711171</c:v>
                </c:pt>
                <c:pt idx="8">
                  <c:v>0.29673944922670309</c:v>
                </c:pt>
                <c:pt idx="9">
                  <c:v>0.1826393770131538</c:v>
                </c:pt>
                <c:pt idx="10">
                  <c:v>0.34204292757843463</c:v>
                </c:pt>
                <c:pt idx="11">
                  <c:v>0.30194792204277632</c:v>
                </c:pt>
                <c:pt idx="12">
                  <c:v>0.43280544153514777</c:v>
                </c:pt>
                <c:pt idx="13">
                  <c:v>0.14932219704278443</c:v>
                </c:pt>
                <c:pt idx="14">
                  <c:v>0.3458430911640441</c:v>
                </c:pt>
                <c:pt idx="15">
                  <c:v>0.38937865925155157</c:v>
                </c:pt>
                <c:pt idx="16">
                  <c:v>0.35337628090977957</c:v>
                </c:pt>
                <c:pt idx="17">
                  <c:v>0.23713189120949721</c:v>
                </c:pt>
                <c:pt idx="18">
                  <c:v>0.39522370384457084</c:v>
                </c:pt>
                <c:pt idx="19">
                  <c:v>0.32600399207389968</c:v>
                </c:pt>
                <c:pt idx="20">
                  <c:v>0.27018090587929267</c:v>
                </c:pt>
                <c:pt idx="21">
                  <c:v>0.2301848202369696</c:v>
                </c:pt>
                <c:pt idx="22">
                  <c:v>0.26029261296803224</c:v>
                </c:pt>
                <c:pt idx="23">
                  <c:v>0.42044385053311606</c:v>
                </c:pt>
                <c:pt idx="24">
                  <c:v>0.51557042552906418</c:v>
                </c:pt>
                <c:pt idx="25">
                  <c:v>0.35047898033301006</c:v>
                </c:pt>
              </c:numCache>
            </c:numRef>
          </c:val>
          <c:extLst>
            <c:ext xmlns:c16="http://schemas.microsoft.com/office/drawing/2014/chart" uri="{C3380CC4-5D6E-409C-BE32-E72D297353CC}">
              <c16:uniqueId val="{00000000-0BE8-4156-8982-41402C24DF01}"/>
            </c:ext>
          </c:extLst>
        </c:ser>
        <c:dLbls>
          <c:showLegendKey val="0"/>
          <c:showVal val="0"/>
          <c:showCatName val="0"/>
          <c:showSerName val="0"/>
          <c:showPercent val="0"/>
          <c:showBubbleSize val="0"/>
        </c:dLbls>
        <c:gapWidth val="219"/>
        <c:overlap val="-27"/>
        <c:axId val="947214415"/>
        <c:axId val="947215855"/>
      </c:barChart>
      <c:catAx>
        <c:axId val="94721441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7215855"/>
        <c:crosses val="autoZero"/>
        <c:auto val="1"/>
        <c:lblAlgn val="ctr"/>
        <c:lblOffset val="100"/>
        <c:noMultiLvlLbl val="0"/>
      </c:catAx>
      <c:valAx>
        <c:axId val="947215855"/>
        <c:scaling>
          <c:orientation val="minMax"/>
          <c:min val="-0.1"/>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721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175260</xdr:rowOff>
    </xdr:from>
    <xdr:to>
      <xdr:col>5</xdr:col>
      <xdr:colOff>350520</xdr:colOff>
      <xdr:row>14</xdr:row>
      <xdr:rowOff>167640</xdr:rowOff>
    </xdr:to>
    <xdr:graphicFrame macro="">
      <xdr:nvGraphicFramePr>
        <xdr:cNvPr id="2" name="Chart 1">
          <a:extLst>
            <a:ext uri="{FF2B5EF4-FFF2-40B4-BE49-F238E27FC236}">
              <a16:creationId xmlns:a16="http://schemas.microsoft.com/office/drawing/2014/main" id="{5B4022C9-A7F3-4A05-B1A3-72F506342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2</xdr:row>
      <xdr:rowOff>0</xdr:rowOff>
    </xdr:from>
    <xdr:to>
      <xdr:col>11</xdr:col>
      <xdr:colOff>228600</xdr:colOff>
      <xdr:row>14</xdr:row>
      <xdr:rowOff>167640</xdr:rowOff>
    </xdr:to>
    <xdr:graphicFrame macro="">
      <xdr:nvGraphicFramePr>
        <xdr:cNvPr id="3" name="Chart 2">
          <a:extLst>
            <a:ext uri="{FF2B5EF4-FFF2-40B4-BE49-F238E27FC236}">
              <a16:creationId xmlns:a16="http://schemas.microsoft.com/office/drawing/2014/main" id="{BB42E41B-7C08-47C4-8341-4F995551D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426720</xdr:colOff>
      <xdr:row>2</xdr:row>
      <xdr:rowOff>7620</xdr:rowOff>
    </xdr:from>
    <xdr:to>
      <xdr:col>17</xdr:col>
      <xdr:colOff>403860</xdr:colOff>
      <xdr:row>14</xdr:row>
      <xdr:rowOff>171450</xdr:rowOff>
    </xdr:to>
    <xdr:graphicFrame macro="">
      <xdr:nvGraphicFramePr>
        <xdr:cNvPr id="4" name="Chart 3">
          <a:extLst>
            <a:ext uri="{FF2B5EF4-FFF2-40B4-BE49-F238E27FC236}">
              <a16:creationId xmlns:a16="http://schemas.microsoft.com/office/drawing/2014/main" id="{6085EB0D-75A9-4EDF-86C6-6987617F2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121920</xdr:rowOff>
    </xdr:from>
    <xdr:to>
      <xdr:col>5</xdr:col>
      <xdr:colOff>609600</xdr:colOff>
      <xdr:row>32</xdr:row>
      <xdr:rowOff>121920</xdr:rowOff>
    </xdr:to>
    <xdr:graphicFrame macro="">
      <xdr:nvGraphicFramePr>
        <xdr:cNvPr id="6" name="Chart 5">
          <a:extLst>
            <a:ext uri="{FF2B5EF4-FFF2-40B4-BE49-F238E27FC236}">
              <a16:creationId xmlns:a16="http://schemas.microsoft.com/office/drawing/2014/main" id="{DD133E22-3EF9-42F7-86F0-D99CDD133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365760</xdr:colOff>
      <xdr:row>18</xdr:row>
      <xdr:rowOff>121920</xdr:rowOff>
    </xdr:from>
    <xdr:to>
      <xdr:col>17</xdr:col>
      <xdr:colOff>533400</xdr:colOff>
      <xdr:row>32</xdr:row>
      <xdr:rowOff>121920</xdr:rowOff>
    </xdr:to>
    <xdr:graphicFrame macro="">
      <xdr:nvGraphicFramePr>
        <xdr:cNvPr id="7" name="Chart 6">
          <a:extLst>
            <a:ext uri="{FF2B5EF4-FFF2-40B4-BE49-F238E27FC236}">
              <a16:creationId xmlns:a16="http://schemas.microsoft.com/office/drawing/2014/main" id="{898A56E9-33BD-48EA-9762-82FF27E3B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36</xdr:row>
      <xdr:rowOff>165852</xdr:rowOff>
    </xdr:from>
    <xdr:to>
      <xdr:col>7</xdr:col>
      <xdr:colOff>274320</xdr:colOff>
      <xdr:row>52</xdr:row>
      <xdr:rowOff>18815</xdr:rowOff>
    </xdr:to>
    <xdr:graphicFrame macro="">
      <xdr:nvGraphicFramePr>
        <xdr:cNvPr id="8" name="Chart 7">
          <a:extLst>
            <a:ext uri="{FF2B5EF4-FFF2-40B4-BE49-F238E27FC236}">
              <a16:creationId xmlns:a16="http://schemas.microsoft.com/office/drawing/2014/main" id="{43D85962-6D5C-4D53-BE66-2484DD251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74883</xdr:colOff>
      <xdr:row>37</xdr:row>
      <xdr:rowOff>17028</xdr:rowOff>
    </xdr:from>
    <xdr:to>
      <xdr:col>15</xdr:col>
      <xdr:colOff>478743</xdr:colOff>
      <xdr:row>52</xdr:row>
      <xdr:rowOff>37630</xdr:rowOff>
    </xdr:to>
    <xdr:graphicFrame macro="">
      <xdr:nvGraphicFramePr>
        <xdr:cNvPr id="5" name="Chart 4">
          <a:extLst>
            <a:ext uri="{FF2B5EF4-FFF2-40B4-BE49-F238E27FC236}">
              <a16:creationId xmlns:a16="http://schemas.microsoft.com/office/drawing/2014/main" id="{C1C9B2B5-D896-4D6B-9C2E-7B658F6C8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57</xdr:row>
      <xdr:rowOff>131702</xdr:rowOff>
    </xdr:from>
    <xdr:to>
      <xdr:col>5</xdr:col>
      <xdr:colOff>555037</xdr:colOff>
      <xdr:row>72</xdr:row>
      <xdr:rowOff>39406</xdr:rowOff>
    </xdr:to>
    <xdr:graphicFrame macro="">
      <xdr:nvGraphicFramePr>
        <xdr:cNvPr id="9" name="Chart 8">
          <a:extLst>
            <a:ext uri="{FF2B5EF4-FFF2-40B4-BE49-F238E27FC236}">
              <a16:creationId xmlns:a16="http://schemas.microsoft.com/office/drawing/2014/main" id="{C4C20C2A-7844-468D-84C2-CBAFE3F27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253999</xdr:colOff>
      <xdr:row>57</xdr:row>
      <xdr:rowOff>141113</xdr:rowOff>
    </xdr:from>
    <xdr:to>
      <xdr:col>12</xdr:col>
      <xdr:colOff>319851</xdr:colOff>
      <xdr:row>72</xdr:row>
      <xdr:rowOff>18815</xdr:rowOff>
    </xdr:to>
    <xdr:graphicFrame macro="">
      <xdr:nvGraphicFramePr>
        <xdr:cNvPr id="10" name="Chart 9">
          <a:extLst>
            <a:ext uri="{FF2B5EF4-FFF2-40B4-BE49-F238E27FC236}">
              <a16:creationId xmlns:a16="http://schemas.microsoft.com/office/drawing/2014/main" id="{6E25E58D-E79A-4CC5-8BA1-5EEA00FED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188148</xdr:colOff>
      <xdr:row>57</xdr:row>
      <xdr:rowOff>131704</xdr:rowOff>
    </xdr:from>
    <xdr:to>
      <xdr:col>19</xdr:col>
      <xdr:colOff>197557</xdr:colOff>
      <xdr:row>72</xdr:row>
      <xdr:rowOff>18814</xdr:rowOff>
    </xdr:to>
    <xdr:graphicFrame macro="">
      <xdr:nvGraphicFramePr>
        <xdr:cNvPr id="11" name="Chart 10">
          <a:extLst>
            <a:ext uri="{FF2B5EF4-FFF2-40B4-BE49-F238E27FC236}">
              <a16:creationId xmlns:a16="http://schemas.microsoft.com/office/drawing/2014/main" id="{A2DF5409-BEE7-4534-9E80-896E1B3CC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77</xdr:row>
      <xdr:rowOff>150520</xdr:rowOff>
    </xdr:from>
    <xdr:to>
      <xdr:col>14</xdr:col>
      <xdr:colOff>150518</xdr:colOff>
      <xdr:row>95</xdr:row>
      <xdr:rowOff>94076</xdr:rowOff>
    </xdr:to>
    <xdr:graphicFrame macro="">
      <xdr:nvGraphicFramePr>
        <xdr:cNvPr id="13" name="Chart 12">
          <a:extLst>
            <a:ext uri="{FF2B5EF4-FFF2-40B4-BE49-F238E27FC236}">
              <a16:creationId xmlns:a16="http://schemas.microsoft.com/office/drawing/2014/main" id="{8B914720-4FA4-4C21-98F1-3C338CF2C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7620</xdr:rowOff>
    </xdr:from>
    <xdr:to>
      <xdr:col>2</xdr:col>
      <xdr:colOff>693420</xdr:colOff>
      <xdr:row>30</xdr:row>
      <xdr:rowOff>0</xdr:rowOff>
    </xdr:to>
    <xdr:graphicFrame macro="">
      <xdr:nvGraphicFramePr>
        <xdr:cNvPr id="2" name="Chart 1">
          <a:extLst>
            <a:ext uri="{FF2B5EF4-FFF2-40B4-BE49-F238E27FC236}">
              <a16:creationId xmlns:a16="http://schemas.microsoft.com/office/drawing/2014/main" id="{5D6316F4-5927-ED74-DE83-41975AC09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17</xdr:row>
      <xdr:rowOff>7620</xdr:rowOff>
    </xdr:from>
    <xdr:to>
      <xdr:col>7</xdr:col>
      <xdr:colOff>723900</xdr:colOff>
      <xdr:row>29</xdr:row>
      <xdr:rowOff>175260</xdr:rowOff>
    </xdr:to>
    <xdr:graphicFrame macro="">
      <xdr:nvGraphicFramePr>
        <xdr:cNvPr id="3" name="Chart 2">
          <a:extLst>
            <a:ext uri="{FF2B5EF4-FFF2-40B4-BE49-F238E27FC236}">
              <a16:creationId xmlns:a16="http://schemas.microsoft.com/office/drawing/2014/main" id="{6697CAFB-9B3E-5615-2925-5EE15118D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17</xdr:row>
      <xdr:rowOff>15240</xdr:rowOff>
    </xdr:from>
    <xdr:to>
      <xdr:col>13</xdr:col>
      <xdr:colOff>15240</xdr:colOff>
      <xdr:row>29</xdr:row>
      <xdr:rowOff>179070</xdr:rowOff>
    </xdr:to>
    <xdr:graphicFrame macro="">
      <xdr:nvGraphicFramePr>
        <xdr:cNvPr id="4" name="Chart 3">
          <a:extLst>
            <a:ext uri="{FF2B5EF4-FFF2-40B4-BE49-F238E27FC236}">
              <a16:creationId xmlns:a16="http://schemas.microsoft.com/office/drawing/2014/main" id="{48A62F1B-3D4E-0127-9107-77133D65F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31</xdr:row>
      <xdr:rowOff>121920</xdr:rowOff>
    </xdr:from>
    <xdr:to>
      <xdr:col>0</xdr:col>
      <xdr:colOff>579120</xdr:colOff>
      <xdr:row>33</xdr:row>
      <xdr:rowOff>68580</xdr:rowOff>
    </xdr:to>
    <xdr:sp macro="" textlink="">
      <xdr:nvSpPr>
        <xdr:cNvPr id="5" name="Arrow: Right 4">
          <a:extLst>
            <a:ext uri="{FF2B5EF4-FFF2-40B4-BE49-F238E27FC236}">
              <a16:creationId xmlns:a16="http://schemas.microsoft.com/office/drawing/2014/main" id="{DB2DB9B3-9B8B-4A26-9B81-067CE0196BD7}"/>
            </a:ext>
          </a:extLst>
        </xdr:cNvPr>
        <xdr:cNvSpPr/>
      </xdr:nvSpPr>
      <xdr:spPr>
        <a:xfrm>
          <a:off x="15240" y="5074920"/>
          <a:ext cx="563880" cy="3124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1</xdr:row>
      <xdr:rowOff>91440</xdr:rowOff>
    </xdr:from>
    <xdr:to>
      <xdr:col>0</xdr:col>
      <xdr:colOff>312420</xdr:colOff>
      <xdr:row>3</xdr:row>
      <xdr:rowOff>7620</xdr:rowOff>
    </xdr:to>
    <xdr:sp macro="" textlink="">
      <xdr:nvSpPr>
        <xdr:cNvPr id="6" name="Star: 5 Points 5">
          <a:extLst>
            <a:ext uri="{FF2B5EF4-FFF2-40B4-BE49-F238E27FC236}">
              <a16:creationId xmlns:a16="http://schemas.microsoft.com/office/drawing/2014/main" id="{4245BAF8-2B2F-9519-AB94-33B56932BF68}"/>
            </a:ext>
          </a:extLst>
        </xdr:cNvPr>
        <xdr:cNvSpPr/>
      </xdr:nvSpPr>
      <xdr:spPr>
        <a:xfrm>
          <a:off x="7620" y="91440"/>
          <a:ext cx="304800" cy="281940"/>
        </a:xfrm>
        <a:prstGeom prst="star5">
          <a:avLst/>
        </a:prstGeom>
        <a:solidFill>
          <a:srgbClr val="C000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11</xdr:row>
      <xdr:rowOff>160020</xdr:rowOff>
    </xdr:from>
    <xdr:to>
      <xdr:col>0</xdr:col>
      <xdr:colOff>525780</xdr:colOff>
      <xdr:row>13</xdr:row>
      <xdr:rowOff>53340</xdr:rowOff>
    </xdr:to>
    <xdr:sp macro="" textlink="">
      <xdr:nvSpPr>
        <xdr:cNvPr id="2" name="Arrow: Right 1">
          <a:extLst>
            <a:ext uri="{FF2B5EF4-FFF2-40B4-BE49-F238E27FC236}">
              <a16:creationId xmlns:a16="http://schemas.microsoft.com/office/drawing/2014/main" id="{DE33A2BC-5327-4E8E-9021-BD3D977E674D}"/>
            </a:ext>
          </a:extLst>
        </xdr:cNvPr>
        <xdr:cNvSpPr/>
      </xdr:nvSpPr>
      <xdr:spPr>
        <a:xfrm>
          <a:off x="83820" y="1805940"/>
          <a:ext cx="441960" cy="2743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2</xdr:row>
      <xdr:rowOff>0</xdr:rowOff>
    </xdr:from>
    <xdr:to>
      <xdr:col>12</xdr:col>
      <xdr:colOff>579120</xdr:colOff>
      <xdr:row>16</xdr:row>
      <xdr:rowOff>15240</xdr:rowOff>
    </xdr:to>
    <xdr:graphicFrame macro="">
      <xdr:nvGraphicFramePr>
        <xdr:cNvPr id="3" name="Chart 2">
          <a:extLst>
            <a:ext uri="{FF2B5EF4-FFF2-40B4-BE49-F238E27FC236}">
              <a16:creationId xmlns:a16="http://schemas.microsoft.com/office/drawing/2014/main" id="{A36E7406-3BC1-0C9A-05C1-58D9BE4EF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37</xdr:row>
      <xdr:rowOff>137160</xdr:rowOff>
    </xdr:from>
    <xdr:to>
      <xdr:col>0</xdr:col>
      <xdr:colOff>541020</xdr:colOff>
      <xdr:row>39</xdr:row>
      <xdr:rowOff>91440</xdr:rowOff>
    </xdr:to>
    <xdr:sp macro="" textlink="">
      <xdr:nvSpPr>
        <xdr:cNvPr id="4" name="Arrow: Right 3">
          <a:extLst>
            <a:ext uri="{FF2B5EF4-FFF2-40B4-BE49-F238E27FC236}">
              <a16:creationId xmlns:a16="http://schemas.microsoft.com/office/drawing/2014/main" id="{2403B39B-4C08-4364-9CF8-66C6E942DB8F}"/>
            </a:ext>
          </a:extLst>
        </xdr:cNvPr>
        <xdr:cNvSpPr/>
      </xdr:nvSpPr>
      <xdr:spPr>
        <a:xfrm>
          <a:off x="45720" y="6934200"/>
          <a:ext cx="495300" cy="3352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868680</xdr:colOff>
      <xdr:row>40</xdr:row>
      <xdr:rowOff>7620</xdr:rowOff>
    </xdr:from>
    <xdr:to>
      <xdr:col>12</xdr:col>
      <xdr:colOff>38100</xdr:colOff>
      <xdr:row>58</xdr:row>
      <xdr:rowOff>7620</xdr:rowOff>
    </xdr:to>
    <xdr:graphicFrame macro="">
      <xdr:nvGraphicFramePr>
        <xdr:cNvPr id="5" name="Chart 4">
          <a:extLst>
            <a:ext uri="{FF2B5EF4-FFF2-40B4-BE49-F238E27FC236}">
              <a16:creationId xmlns:a16="http://schemas.microsoft.com/office/drawing/2014/main" id="{113E2843-EA41-54EB-85A3-8FC83002D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17</xdr:row>
      <xdr:rowOff>121920</xdr:rowOff>
    </xdr:from>
    <xdr:to>
      <xdr:col>0</xdr:col>
      <xdr:colOff>655320</xdr:colOff>
      <xdr:row>19</xdr:row>
      <xdr:rowOff>60960</xdr:rowOff>
    </xdr:to>
    <xdr:sp macro="" textlink="">
      <xdr:nvSpPr>
        <xdr:cNvPr id="2" name="Arrow: Right 1">
          <a:extLst>
            <a:ext uri="{FF2B5EF4-FFF2-40B4-BE49-F238E27FC236}">
              <a16:creationId xmlns:a16="http://schemas.microsoft.com/office/drawing/2014/main" id="{EB77E983-C768-1160-2374-B48A8DD0E7B8}"/>
            </a:ext>
          </a:extLst>
        </xdr:cNvPr>
        <xdr:cNvSpPr/>
      </xdr:nvSpPr>
      <xdr:spPr>
        <a:xfrm>
          <a:off x="22860" y="3213215"/>
          <a:ext cx="632460" cy="3200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37</xdr:row>
      <xdr:rowOff>114300</xdr:rowOff>
    </xdr:from>
    <xdr:to>
      <xdr:col>0</xdr:col>
      <xdr:colOff>586740</xdr:colOff>
      <xdr:row>39</xdr:row>
      <xdr:rowOff>83820</xdr:rowOff>
    </xdr:to>
    <xdr:sp macro="" textlink="">
      <xdr:nvSpPr>
        <xdr:cNvPr id="3" name="Arrow: Right 2">
          <a:extLst>
            <a:ext uri="{FF2B5EF4-FFF2-40B4-BE49-F238E27FC236}">
              <a16:creationId xmlns:a16="http://schemas.microsoft.com/office/drawing/2014/main" id="{49C62CFD-0D09-F2EC-F345-062741C9C1D3}"/>
            </a:ext>
          </a:extLst>
        </xdr:cNvPr>
        <xdr:cNvSpPr/>
      </xdr:nvSpPr>
      <xdr:spPr>
        <a:xfrm>
          <a:off x="0" y="6894368"/>
          <a:ext cx="586740" cy="3505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1135380</xdr:colOff>
      <xdr:row>4</xdr:row>
      <xdr:rowOff>60960</xdr:rowOff>
    </xdr:from>
    <xdr:to>
      <xdr:col>12</xdr:col>
      <xdr:colOff>792480</xdr:colOff>
      <xdr:row>18</xdr:row>
      <xdr:rowOff>106680</xdr:rowOff>
    </xdr:to>
    <xdr:graphicFrame macro="">
      <xdr:nvGraphicFramePr>
        <xdr:cNvPr id="4" name="Chart 3">
          <a:extLst>
            <a:ext uri="{FF2B5EF4-FFF2-40B4-BE49-F238E27FC236}">
              <a16:creationId xmlns:a16="http://schemas.microsoft.com/office/drawing/2014/main" id="{338FE27D-D6C3-650D-D1AA-7E6EF32D8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38</xdr:row>
      <xdr:rowOff>0</xdr:rowOff>
    </xdr:from>
    <xdr:to>
      <xdr:col>12</xdr:col>
      <xdr:colOff>922020</xdr:colOff>
      <xdr:row>51</xdr:row>
      <xdr:rowOff>171450</xdr:rowOff>
    </xdr:to>
    <xdr:graphicFrame macro="">
      <xdr:nvGraphicFramePr>
        <xdr:cNvPr id="5" name="Chart 4">
          <a:extLst>
            <a:ext uri="{FF2B5EF4-FFF2-40B4-BE49-F238E27FC236}">
              <a16:creationId xmlns:a16="http://schemas.microsoft.com/office/drawing/2014/main" id="{91E29633-BE42-9A6C-F335-C25A71E0D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17124</xdr:colOff>
      <xdr:row>41</xdr:row>
      <xdr:rowOff>17123</xdr:rowOff>
    </xdr:from>
    <xdr:to>
      <xdr:col>9</xdr:col>
      <xdr:colOff>607889</xdr:colOff>
      <xdr:row>56</xdr:row>
      <xdr:rowOff>10027</xdr:rowOff>
    </xdr:to>
    <xdr:graphicFrame macro="">
      <xdr:nvGraphicFramePr>
        <xdr:cNvPr id="2" name="Chart 1">
          <a:extLst>
            <a:ext uri="{FF2B5EF4-FFF2-40B4-BE49-F238E27FC236}">
              <a16:creationId xmlns:a16="http://schemas.microsoft.com/office/drawing/2014/main" id="{C7D15BD1-D482-C7C9-5B5F-492538523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41</xdr:row>
      <xdr:rowOff>8562</xdr:rowOff>
    </xdr:from>
    <xdr:to>
      <xdr:col>17</xdr:col>
      <xdr:colOff>0</xdr:colOff>
      <xdr:row>55</xdr:row>
      <xdr:rowOff>171236</xdr:rowOff>
    </xdr:to>
    <xdr:graphicFrame macro="">
      <xdr:nvGraphicFramePr>
        <xdr:cNvPr id="3" name="Chart 2">
          <a:extLst>
            <a:ext uri="{FF2B5EF4-FFF2-40B4-BE49-F238E27FC236}">
              <a16:creationId xmlns:a16="http://schemas.microsoft.com/office/drawing/2014/main" id="{4C667C6A-63B4-9166-0E25-BF8CFAA01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17125</xdr:colOff>
      <xdr:row>41</xdr:row>
      <xdr:rowOff>17124</xdr:rowOff>
    </xdr:from>
    <xdr:to>
      <xdr:col>22</xdr:col>
      <xdr:colOff>582203</xdr:colOff>
      <xdr:row>56</xdr:row>
      <xdr:rowOff>-1</xdr:rowOff>
    </xdr:to>
    <xdr:graphicFrame macro="">
      <xdr:nvGraphicFramePr>
        <xdr:cNvPr id="4" name="Chart 3">
          <a:extLst>
            <a:ext uri="{FF2B5EF4-FFF2-40B4-BE49-F238E27FC236}">
              <a16:creationId xmlns:a16="http://schemas.microsoft.com/office/drawing/2014/main" id="{FF2AB8BB-0439-02EC-8022-0B9E0F4F9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59</xdr:row>
      <xdr:rowOff>103908</xdr:rowOff>
    </xdr:from>
    <xdr:to>
      <xdr:col>1</xdr:col>
      <xdr:colOff>8659</xdr:colOff>
      <xdr:row>61</xdr:row>
      <xdr:rowOff>75471</xdr:rowOff>
    </xdr:to>
    <xdr:sp macro="" textlink="">
      <xdr:nvSpPr>
        <xdr:cNvPr id="6" name="Arrow: Right 5">
          <a:extLst>
            <a:ext uri="{FF2B5EF4-FFF2-40B4-BE49-F238E27FC236}">
              <a16:creationId xmlns:a16="http://schemas.microsoft.com/office/drawing/2014/main" id="{C60EDC0C-D111-4A25-8E65-7F6945D1351B}"/>
            </a:ext>
          </a:extLst>
        </xdr:cNvPr>
        <xdr:cNvSpPr/>
      </xdr:nvSpPr>
      <xdr:spPr>
        <a:xfrm>
          <a:off x="0" y="10893135"/>
          <a:ext cx="545523" cy="369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xdr:col>
      <xdr:colOff>331470</xdr:colOff>
      <xdr:row>7</xdr:row>
      <xdr:rowOff>11430</xdr:rowOff>
    </xdr:to>
    <xdr:pic>
      <xdr:nvPicPr>
        <xdr:cNvPr id="2" name="Picture 1">
          <a:extLst>
            <a:ext uri="{FF2B5EF4-FFF2-40B4-BE49-F238E27FC236}">
              <a16:creationId xmlns:a16="http://schemas.microsoft.com/office/drawing/2014/main" id="{AC9F5C40-6F69-47DE-BCC9-62339F289C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7170"/>
          <a:ext cx="941070" cy="108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129</xdr:row>
      <xdr:rowOff>83820</xdr:rowOff>
    </xdr:from>
    <xdr:to>
      <xdr:col>0</xdr:col>
      <xdr:colOff>545523</xdr:colOff>
      <xdr:row>131</xdr:row>
      <xdr:rowOff>103181</xdr:rowOff>
    </xdr:to>
    <xdr:sp macro="" textlink="">
      <xdr:nvSpPr>
        <xdr:cNvPr id="2" name="Arrow: Right 1">
          <a:extLst>
            <a:ext uri="{FF2B5EF4-FFF2-40B4-BE49-F238E27FC236}">
              <a16:creationId xmlns:a16="http://schemas.microsoft.com/office/drawing/2014/main" id="{08C70C77-A3CE-4C94-BBE2-C24C8F048E9F}"/>
            </a:ext>
          </a:extLst>
        </xdr:cNvPr>
        <xdr:cNvSpPr/>
      </xdr:nvSpPr>
      <xdr:spPr>
        <a:xfrm>
          <a:off x="0" y="23629620"/>
          <a:ext cx="545523" cy="40036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515470</xdr:colOff>
      <xdr:row>105</xdr:row>
      <xdr:rowOff>170327</xdr:rowOff>
    </xdr:from>
    <xdr:to>
      <xdr:col>13</xdr:col>
      <xdr:colOff>986118</xdr:colOff>
      <xdr:row>125</xdr:row>
      <xdr:rowOff>161364</xdr:rowOff>
    </xdr:to>
    <xdr:graphicFrame macro="">
      <xdr:nvGraphicFramePr>
        <xdr:cNvPr id="3" name="Chart 2">
          <a:extLst>
            <a:ext uri="{FF2B5EF4-FFF2-40B4-BE49-F238E27FC236}">
              <a16:creationId xmlns:a16="http://schemas.microsoft.com/office/drawing/2014/main" id="{1E76B47C-626C-43AF-7F2B-4E720E39B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dhawan" refreshedDate="45955.663229745369" createdVersion="8" refreshedVersion="8" minRefreshableVersion="3" recordCount="39" xr:uid="{46B11B98-D3A1-41AB-9A34-8593027A2000}">
  <cacheSource type="worksheet">
    <worksheetSource ref="A3:E42" sheet="Problem 3 data"/>
  </cacheSource>
  <cacheFields count="5">
    <cacheField name="Sector" numFmtId="0">
      <sharedItems count="3">
        <s v="Rural"/>
        <s v="Rural+Urban"/>
        <s v="Urban"/>
      </sharedItems>
    </cacheField>
    <cacheField name="Year" numFmtId="0">
      <sharedItems containsSemiMixedTypes="0" containsString="0" containsNumber="1" containsInteger="1" minValue="2022" maxValue="2023" count="2">
        <n v="2022"/>
        <n v="2023"/>
      </sharedItems>
    </cacheField>
    <cacheField name="Month" numFmtId="0">
      <sharedItems count="12">
        <s v="May"/>
        <s v="June"/>
        <s v="July"/>
        <s v="August"/>
        <s v="September"/>
        <s v="October"/>
        <s v="November"/>
        <s v="December"/>
        <s v="January"/>
        <s v="February"/>
        <s v="March"/>
        <s v="April"/>
      </sharedItems>
    </cacheField>
    <cacheField name="Month no." numFmtId="0">
      <sharedItems containsSemiMixedTypes="0" containsString="0" containsNumber="1" containsInteger="1" minValue="1" maxValue="12"/>
    </cacheField>
    <cacheField name="Food and Beverages" numFmtId="0">
      <sharedItems containsSemiMixedTypes="0" containsString="0" containsNumber="1" minValue="2226.8000000000002" maxValue="233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n v="5"/>
    <n v="2226.8000000000002"/>
  </r>
  <r>
    <x v="1"/>
    <x v="0"/>
    <x v="0"/>
    <n v="5"/>
    <n v="2238.9000000000005"/>
  </r>
  <r>
    <x v="2"/>
    <x v="0"/>
    <x v="0"/>
    <n v="5"/>
    <n v="2262.2000000000003"/>
  </r>
  <r>
    <x v="0"/>
    <x v="0"/>
    <x v="1"/>
    <n v="6"/>
    <n v="2248.3000000000002"/>
  </r>
  <r>
    <x v="1"/>
    <x v="0"/>
    <x v="1"/>
    <n v="6"/>
    <n v="2261.9"/>
  </r>
  <r>
    <x v="2"/>
    <x v="0"/>
    <x v="1"/>
    <n v="6"/>
    <n v="2287.5"/>
  </r>
  <r>
    <x v="0"/>
    <x v="0"/>
    <x v="2"/>
    <n v="7"/>
    <n v="2252.5"/>
  </r>
  <r>
    <x v="1"/>
    <x v="0"/>
    <x v="2"/>
    <n v="7"/>
    <n v="2266.3000000000002"/>
  </r>
  <r>
    <x v="2"/>
    <x v="0"/>
    <x v="2"/>
    <n v="7"/>
    <n v="2291.6"/>
  </r>
  <r>
    <x v="0"/>
    <x v="0"/>
    <x v="3"/>
    <n v="8"/>
    <n v="2255.7999999999997"/>
  </r>
  <r>
    <x v="1"/>
    <x v="0"/>
    <x v="3"/>
    <n v="8"/>
    <n v="2269.2000000000003"/>
  </r>
  <r>
    <x v="2"/>
    <x v="0"/>
    <x v="3"/>
    <n v="8"/>
    <n v="2293.6999999999998"/>
  </r>
  <r>
    <x v="0"/>
    <x v="0"/>
    <x v="4"/>
    <n v="9"/>
    <n v="2267.8000000000002"/>
  </r>
  <r>
    <x v="1"/>
    <x v="0"/>
    <x v="4"/>
    <n v="9"/>
    <n v="2280.9"/>
  </r>
  <r>
    <x v="2"/>
    <x v="0"/>
    <x v="4"/>
    <n v="9"/>
    <n v="2306.4"/>
  </r>
  <r>
    <x v="0"/>
    <x v="0"/>
    <x v="5"/>
    <n v="10"/>
    <n v="2284.5"/>
  </r>
  <r>
    <x v="1"/>
    <x v="0"/>
    <x v="5"/>
    <n v="10"/>
    <n v="2297.3000000000002"/>
  </r>
  <r>
    <x v="2"/>
    <x v="0"/>
    <x v="5"/>
    <n v="10"/>
    <n v="2322.3000000000002"/>
  </r>
  <r>
    <x v="0"/>
    <x v="0"/>
    <x v="6"/>
    <n v="11"/>
    <n v="2287.6999999999998"/>
  </r>
  <r>
    <x v="1"/>
    <x v="0"/>
    <x v="6"/>
    <n v="11"/>
    <n v="2296.8000000000002"/>
  </r>
  <r>
    <x v="2"/>
    <x v="0"/>
    <x v="6"/>
    <n v="11"/>
    <n v="2314.4"/>
  </r>
  <r>
    <x v="0"/>
    <x v="0"/>
    <x v="7"/>
    <n v="12"/>
    <n v="2277.1"/>
  </r>
  <r>
    <x v="1"/>
    <x v="0"/>
    <x v="7"/>
    <n v="12"/>
    <n v="2283.4"/>
  </r>
  <r>
    <x v="2"/>
    <x v="0"/>
    <x v="7"/>
    <n v="12"/>
    <n v="2295.7999999999997"/>
  </r>
  <r>
    <x v="0"/>
    <x v="1"/>
    <x v="8"/>
    <n v="1"/>
    <n v="2283.2000000000003"/>
  </r>
  <r>
    <x v="1"/>
    <x v="1"/>
    <x v="8"/>
    <n v="1"/>
    <n v="2292.6999999999998"/>
  </r>
  <r>
    <x v="2"/>
    <x v="1"/>
    <x v="8"/>
    <n v="1"/>
    <n v="2310.2000000000003"/>
  </r>
  <r>
    <x v="0"/>
    <x v="1"/>
    <x v="9"/>
    <n v="2"/>
    <n v="2265.6999999999998"/>
  </r>
  <r>
    <x v="1"/>
    <x v="1"/>
    <x v="9"/>
    <n v="2"/>
    <n v="2279.1"/>
  </r>
  <r>
    <x v="2"/>
    <x v="1"/>
    <x v="9"/>
    <n v="2"/>
    <n v="2303.1999999999998"/>
  </r>
  <r>
    <x v="0"/>
    <x v="1"/>
    <x v="10"/>
    <n v="3"/>
    <n v="2265.8000000000002"/>
  </r>
  <r>
    <x v="1"/>
    <x v="1"/>
    <x v="10"/>
    <n v="3"/>
    <n v="2279.1999999999998"/>
  </r>
  <r>
    <x v="2"/>
    <x v="1"/>
    <x v="10"/>
    <n v="3"/>
    <n v="2303.4"/>
  </r>
  <r>
    <x v="0"/>
    <x v="1"/>
    <x v="11"/>
    <n v="4"/>
    <n v="2274.1999999999998"/>
  </r>
  <r>
    <x v="1"/>
    <x v="1"/>
    <x v="11"/>
    <n v="4"/>
    <n v="2289.6000000000004"/>
  </r>
  <r>
    <x v="2"/>
    <x v="1"/>
    <x v="11"/>
    <n v="4"/>
    <n v="2317.7000000000003"/>
  </r>
  <r>
    <x v="0"/>
    <x v="1"/>
    <x v="0"/>
    <n v="5"/>
    <n v="2290.7000000000007"/>
  </r>
  <r>
    <x v="1"/>
    <x v="1"/>
    <x v="0"/>
    <n v="5"/>
    <n v="2306.9"/>
  </r>
  <r>
    <x v="2"/>
    <x v="1"/>
    <x v="0"/>
    <n v="5"/>
    <n v="233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FEE39C-1447-42F2-9C03-EF78B6D53AC6}"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3:F17" firstHeaderRow="1" firstDataRow="2" firstDataCol="2"/>
  <pivotFields count="5">
    <pivotField axis="axisCol" compact="0" outline="0" showAll="0">
      <items count="4">
        <item x="0"/>
        <item x="1"/>
        <item x="2"/>
        <item t="default"/>
      </items>
    </pivotField>
    <pivotField axis="axisRow" compact="0" outline="0" showAll="0" defaultSubtotal="0">
      <items count="2">
        <item x="0"/>
        <item x="1"/>
      </items>
    </pivotField>
    <pivotField axis="axisRow" compact="0" outline="0" showAll="0">
      <items count="13">
        <item x="8"/>
        <item x="9"/>
        <item x="10"/>
        <item x="11"/>
        <item x="0"/>
        <item x="1"/>
        <item x="2"/>
        <item x="3"/>
        <item x="4"/>
        <item x="5"/>
        <item x="6"/>
        <item x="7"/>
        <item t="default"/>
      </items>
    </pivotField>
    <pivotField compact="0" outline="0" showAll="0"/>
    <pivotField dataField="1" compact="0" outline="0" showAll="0"/>
  </pivotFields>
  <rowFields count="2">
    <field x="1"/>
    <field x="2"/>
  </rowFields>
  <rowItems count="13">
    <i>
      <x/>
      <x v="4"/>
    </i>
    <i r="1">
      <x v="5"/>
    </i>
    <i r="1">
      <x v="6"/>
    </i>
    <i r="1">
      <x v="7"/>
    </i>
    <i r="1">
      <x v="8"/>
    </i>
    <i r="1">
      <x v="9"/>
    </i>
    <i r="1">
      <x v="10"/>
    </i>
    <i r="1">
      <x v="11"/>
    </i>
    <i>
      <x v="1"/>
      <x/>
    </i>
    <i r="1">
      <x v="1"/>
    </i>
    <i r="1">
      <x v="2"/>
    </i>
    <i r="1">
      <x v="3"/>
    </i>
    <i r="1">
      <x v="4"/>
    </i>
  </rowItems>
  <colFields count="1">
    <field x="0"/>
  </colFields>
  <colItems count="4">
    <i>
      <x/>
    </i>
    <i>
      <x v="1"/>
    </i>
    <i>
      <x v="2"/>
    </i>
    <i t="grand">
      <x/>
    </i>
  </colItems>
  <dataFields count="1">
    <dataField name="Sum of Food and Beverag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AE365D-5B88-429D-BA30-8F41F91B98E4}" name="Table1" displayName="Table1" ref="A3:E42" totalsRowShown="0" headerRowDxfId="56">
  <autoFilter ref="A3:E42" xr:uid="{C9AE365D-5B88-429D-BA30-8F41F91B98E4}"/>
  <tableColumns count="5">
    <tableColumn id="1" xr3:uid="{0313B599-55A1-4E11-91C9-806E3CED1702}" name="Sector"/>
    <tableColumn id="2" xr3:uid="{A041DC3F-1EED-4EE5-8733-FFC9D08D8C00}" name="Year"/>
    <tableColumn id="3" xr3:uid="{057974A1-C456-4E35-ACD6-1D33290B6770}" name="Month"/>
    <tableColumn id="4" xr3:uid="{FDC23ACF-24E5-4589-A15D-A34010BA137B}" name="Month no."/>
    <tableColumn id="5" xr3:uid="{1D7B245A-D728-4DE1-AE02-57C3FEF65573}" name="Food and Beverages"/>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1C6D-99AD-4745-8529-903691A89BF5}">
  <dimension ref="A1:W99"/>
  <sheetViews>
    <sheetView showGridLines="0" zoomScale="81" zoomScaleNormal="55" workbookViewId="0">
      <selection activeCell="W87" sqref="W87"/>
    </sheetView>
  </sheetViews>
  <sheetFormatPr defaultRowHeight="14.4" x14ac:dyDescent="0.3"/>
  <cols>
    <col min="6" max="6" width="9.109375" customWidth="1"/>
    <col min="7" max="7" width="6.77734375" customWidth="1"/>
    <col min="15" max="15" width="3.88671875" customWidth="1"/>
    <col min="16" max="16" width="10" customWidth="1"/>
  </cols>
  <sheetData>
    <row r="1" spans="1:23" ht="21" x14ac:dyDescent="0.4">
      <c r="A1" s="77" t="s">
        <v>145</v>
      </c>
      <c r="B1" s="77"/>
      <c r="C1" s="77"/>
      <c r="D1" s="77"/>
      <c r="E1" s="77"/>
      <c r="F1" s="77"/>
      <c r="G1" s="77"/>
      <c r="H1" s="77"/>
      <c r="I1" s="77"/>
      <c r="J1" s="77"/>
      <c r="K1" s="77"/>
      <c r="L1" s="77"/>
      <c r="M1" s="77"/>
      <c r="N1" s="77"/>
      <c r="O1" s="77"/>
      <c r="P1" s="77"/>
      <c r="Q1" s="77"/>
      <c r="R1" s="77"/>
      <c r="S1" s="77"/>
      <c r="T1" s="77"/>
      <c r="U1" s="74"/>
      <c r="V1" s="74"/>
      <c r="W1" s="74"/>
    </row>
    <row r="2" spans="1:23" x14ac:dyDescent="0.3">
      <c r="A2" s="69"/>
      <c r="B2" s="69"/>
      <c r="C2" s="69"/>
      <c r="D2" s="69"/>
      <c r="E2" s="69"/>
      <c r="F2" s="69"/>
      <c r="G2" s="69"/>
      <c r="H2" s="69"/>
      <c r="I2" s="69"/>
      <c r="J2" s="69"/>
      <c r="K2" s="69"/>
      <c r="L2" s="69"/>
      <c r="M2" s="69"/>
      <c r="N2" s="69"/>
      <c r="O2" s="69"/>
      <c r="P2" s="69"/>
      <c r="Q2" s="69"/>
      <c r="R2" s="69"/>
      <c r="S2" s="69"/>
      <c r="T2" s="69"/>
    </row>
    <row r="3" spans="1:23" x14ac:dyDescent="0.3">
      <c r="A3" s="69"/>
      <c r="B3" s="69"/>
      <c r="C3" s="69"/>
      <c r="D3" s="69"/>
      <c r="E3" s="69"/>
      <c r="F3" s="69"/>
      <c r="G3" s="69"/>
      <c r="H3" s="69"/>
      <c r="I3" s="69"/>
      <c r="J3" s="69"/>
      <c r="K3" s="69"/>
      <c r="L3" s="69"/>
      <c r="M3" s="69"/>
      <c r="N3" s="69"/>
      <c r="O3" s="69"/>
      <c r="P3" s="69"/>
      <c r="Q3" s="69"/>
      <c r="R3" s="69"/>
      <c r="S3" s="69"/>
      <c r="T3" s="69"/>
    </row>
    <row r="4" spans="1:23" x14ac:dyDescent="0.3">
      <c r="A4" s="69"/>
      <c r="B4" s="69"/>
      <c r="C4" s="69"/>
      <c r="D4" s="69"/>
      <c r="E4" s="69"/>
      <c r="F4" s="69"/>
      <c r="G4" s="69"/>
      <c r="H4" s="69"/>
      <c r="I4" s="69"/>
      <c r="J4" s="69"/>
      <c r="K4" s="69"/>
      <c r="L4" s="69"/>
      <c r="M4" s="69"/>
      <c r="N4" s="69"/>
      <c r="O4" s="69"/>
      <c r="P4" s="69"/>
      <c r="Q4" s="69"/>
      <c r="R4" s="69"/>
      <c r="S4" s="69"/>
      <c r="T4" s="69"/>
    </row>
    <row r="5" spans="1:23" x14ac:dyDescent="0.3">
      <c r="A5" s="69"/>
      <c r="B5" s="69"/>
      <c r="C5" s="69"/>
      <c r="D5" s="69"/>
      <c r="E5" s="69"/>
      <c r="F5" s="69"/>
      <c r="G5" s="69"/>
      <c r="H5" s="69"/>
      <c r="I5" s="69"/>
      <c r="J5" s="69"/>
      <c r="K5" s="69"/>
      <c r="L5" s="69"/>
      <c r="M5" s="69"/>
      <c r="N5" s="69"/>
      <c r="O5" s="69"/>
      <c r="P5" s="69"/>
      <c r="Q5" s="69"/>
      <c r="R5" s="69"/>
      <c r="S5" s="69"/>
      <c r="T5" s="69"/>
    </row>
    <row r="6" spans="1:23" x14ac:dyDescent="0.3">
      <c r="A6" s="69"/>
      <c r="B6" s="69"/>
      <c r="C6" s="69"/>
      <c r="D6" s="69"/>
      <c r="E6" s="69"/>
      <c r="F6" s="69"/>
      <c r="G6" s="69"/>
      <c r="H6" s="69"/>
      <c r="I6" s="69"/>
      <c r="J6" s="69"/>
      <c r="K6" s="69"/>
      <c r="L6" s="69"/>
      <c r="M6" s="69"/>
      <c r="N6" s="69"/>
      <c r="O6" s="69"/>
      <c r="P6" s="69"/>
      <c r="Q6" s="69"/>
      <c r="R6" s="69"/>
      <c r="S6" s="69"/>
      <c r="T6" s="69"/>
    </row>
    <row r="7" spans="1:23" x14ac:dyDescent="0.3">
      <c r="A7" s="69"/>
      <c r="B7" s="69"/>
      <c r="C7" s="69"/>
      <c r="D7" s="69"/>
      <c r="E7" s="69"/>
      <c r="F7" s="69"/>
      <c r="G7" s="69"/>
      <c r="H7" s="69"/>
      <c r="I7" s="69"/>
      <c r="J7" s="69"/>
      <c r="K7" s="69"/>
      <c r="L7" s="69"/>
      <c r="M7" s="69"/>
      <c r="N7" s="69"/>
      <c r="O7" s="69"/>
      <c r="P7" s="69"/>
      <c r="Q7" s="69"/>
      <c r="R7" s="69"/>
      <c r="S7" s="69"/>
      <c r="T7" s="69"/>
    </row>
    <row r="8" spans="1:23" x14ac:dyDescent="0.3">
      <c r="A8" s="69"/>
      <c r="B8" s="69"/>
      <c r="C8" s="69"/>
      <c r="D8" s="69"/>
      <c r="E8" s="69"/>
      <c r="F8" s="69"/>
      <c r="G8" s="69"/>
      <c r="H8" s="69"/>
      <c r="I8" s="69"/>
      <c r="J8" s="69"/>
      <c r="K8" s="69"/>
      <c r="L8" s="69"/>
      <c r="M8" s="69"/>
      <c r="N8" s="69"/>
      <c r="O8" s="69"/>
      <c r="P8" s="69"/>
      <c r="Q8" s="69"/>
      <c r="R8" s="69"/>
      <c r="S8" s="69"/>
      <c r="T8" s="69"/>
    </row>
    <row r="9" spans="1:23" x14ac:dyDescent="0.3">
      <c r="A9" s="69"/>
      <c r="B9" s="69"/>
      <c r="C9" s="69"/>
      <c r="D9" s="69"/>
      <c r="E9" s="69"/>
      <c r="F9" s="69"/>
      <c r="G9" s="69"/>
      <c r="H9" s="69"/>
      <c r="I9" s="69"/>
      <c r="J9" s="69"/>
      <c r="K9" s="69"/>
      <c r="L9" s="69"/>
      <c r="M9" s="69"/>
      <c r="N9" s="69"/>
      <c r="O9" s="69"/>
      <c r="P9" s="69"/>
      <c r="Q9" s="69"/>
      <c r="R9" s="69"/>
      <c r="S9" s="69"/>
      <c r="T9" s="69"/>
    </row>
    <row r="10" spans="1:23" x14ac:dyDescent="0.3">
      <c r="A10" s="69"/>
      <c r="B10" s="69"/>
      <c r="C10" s="69"/>
      <c r="D10" s="69"/>
      <c r="E10" s="69"/>
      <c r="F10" s="69"/>
      <c r="G10" s="69"/>
      <c r="H10" s="69"/>
      <c r="I10" s="69"/>
      <c r="J10" s="69"/>
      <c r="K10" s="69"/>
      <c r="L10" s="69"/>
      <c r="M10" s="69"/>
      <c r="N10" s="69"/>
      <c r="O10" s="69"/>
      <c r="P10" s="69"/>
      <c r="Q10" s="69"/>
      <c r="R10" s="69"/>
      <c r="S10" s="69"/>
      <c r="T10" s="69"/>
    </row>
    <row r="11" spans="1:23" x14ac:dyDescent="0.3">
      <c r="A11" s="69"/>
      <c r="B11" s="69"/>
      <c r="C11" s="69"/>
      <c r="D11" s="69"/>
      <c r="E11" s="69"/>
      <c r="F11" s="69"/>
      <c r="G11" s="69"/>
      <c r="H11" s="69"/>
      <c r="I11" s="69"/>
      <c r="J11" s="69"/>
      <c r="K11" s="69"/>
      <c r="L11" s="69"/>
      <c r="M11" s="69"/>
      <c r="N11" s="69"/>
      <c r="O11" s="69"/>
      <c r="P11" s="69"/>
      <c r="Q11" s="69"/>
      <c r="R11" s="69"/>
      <c r="S11" s="69"/>
      <c r="T11" s="69"/>
    </row>
    <row r="12" spans="1:23" x14ac:dyDescent="0.3">
      <c r="A12" s="69"/>
      <c r="B12" s="69"/>
      <c r="C12" s="69"/>
      <c r="D12" s="69"/>
      <c r="E12" s="69"/>
      <c r="F12" s="69"/>
      <c r="G12" s="69"/>
      <c r="H12" s="69"/>
      <c r="I12" s="69"/>
      <c r="J12" s="69"/>
      <c r="K12" s="69"/>
      <c r="L12" s="69"/>
      <c r="M12" s="69"/>
      <c r="N12" s="69"/>
      <c r="O12" s="69"/>
      <c r="P12" s="69"/>
      <c r="Q12" s="69"/>
      <c r="R12" s="69"/>
      <c r="S12" s="69"/>
      <c r="T12" s="69"/>
    </row>
    <row r="13" spans="1:23" x14ac:dyDescent="0.3">
      <c r="A13" s="69"/>
      <c r="B13" s="69"/>
      <c r="C13" s="69"/>
      <c r="D13" s="69"/>
      <c r="E13" s="69"/>
      <c r="F13" s="69"/>
      <c r="G13" s="69"/>
      <c r="H13" s="69"/>
      <c r="I13" s="69"/>
      <c r="J13" s="69"/>
      <c r="K13" s="69"/>
      <c r="L13" s="69"/>
      <c r="M13" s="69"/>
      <c r="N13" s="69"/>
      <c r="O13" s="69"/>
      <c r="P13" s="69"/>
      <c r="Q13" s="69"/>
      <c r="R13" s="69"/>
      <c r="S13" s="69"/>
      <c r="T13" s="69"/>
    </row>
    <row r="14" spans="1:23" x14ac:dyDescent="0.3">
      <c r="A14" s="69"/>
      <c r="B14" s="69"/>
      <c r="C14" s="69"/>
      <c r="D14" s="69"/>
      <c r="E14" s="69"/>
      <c r="F14" s="69"/>
      <c r="G14" s="69"/>
      <c r="H14" s="69"/>
      <c r="I14" s="69"/>
      <c r="J14" s="69"/>
      <c r="K14" s="69"/>
      <c r="L14" s="69"/>
      <c r="M14" s="69"/>
      <c r="N14" s="69"/>
      <c r="O14" s="69"/>
      <c r="P14" s="69"/>
      <c r="Q14" s="69"/>
      <c r="R14" s="69"/>
      <c r="S14" s="69"/>
      <c r="T14" s="69"/>
    </row>
    <row r="15" spans="1:23" x14ac:dyDescent="0.3">
      <c r="A15" s="69"/>
      <c r="B15" s="69"/>
      <c r="C15" s="69"/>
      <c r="D15" s="69"/>
      <c r="E15" s="69"/>
      <c r="F15" s="69"/>
      <c r="G15" s="69"/>
      <c r="H15" s="69"/>
      <c r="I15" s="69"/>
      <c r="J15" s="69"/>
      <c r="K15" s="69"/>
      <c r="L15" s="69"/>
      <c r="M15" s="69"/>
      <c r="N15" s="69"/>
      <c r="O15" s="69"/>
      <c r="P15" s="69"/>
      <c r="Q15" s="69"/>
      <c r="R15" s="69"/>
      <c r="S15" s="69"/>
      <c r="T15" s="69"/>
    </row>
    <row r="16" spans="1:23" x14ac:dyDescent="0.3">
      <c r="A16" s="69"/>
      <c r="B16" s="69"/>
      <c r="C16" s="69"/>
      <c r="D16" s="69"/>
      <c r="E16" s="69"/>
      <c r="F16" s="69"/>
      <c r="G16" s="69"/>
      <c r="H16" s="69"/>
      <c r="I16" s="69"/>
      <c r="J16" s="69"/>
      <c r="K16" s="69"/>
      <c r="L16" s="69"/>
      <c r="M16" s="69"/>
      <c r="N16" s="69"/>
      <c r="O16" s="69"/>
      <c r="P16" s="69"/>
      <c r="Q16" s="69"/>
      <c r="R16" s="69"/>
      <c r="S16" s="69"/>
      <c r="T16" s="69"/>
    </row>
    <row r="17" spans="1:20" ht="15.6" x14ac:dyDescent="0.3">
      <c r="A17" s="71" t="s">
        <v>148</v>
      </c>
      <c r="B17" s="70"/>
      <c r="C17" s="70"/>
      <c r="D17" s="70"/>
      <c r="E17" s="70"/>
      <c r="F17" s="70"/>
      <c r="G17" s="70"/>
      <c r="H17" s="70"/>
      <c r="I17" s="70"/>
      <c r="J17" s="69"/>
      <c r="K17" s="69"/>
      <c r="L17" s="69"/>
      <c r="M17" s="69"/>
      <c r="N17" s="69"/>
      <c r="O17" s="69"/>
      <c r="P17" s="69"/>
      <c r="Q17" s="69"/>
      <c r="R17" s="69"/>
      <c r="S17" s="69"/>
      <c r="T17" s="69"/>
    </row>
    <row r="18" spans="1:20" x14ac:dyDescent="0.3">
      <c r="A18" s="69"/>
      <c r="B18" s="69"/>
      <c r="C18" s="69"/>
      <c r="D18" s="69"/>
      <c r="E18" s="69"/>
      <c r="F18" s="69"/>
      <c r="G18" s="69"/>
      <c r="H18" s="69"/>
      <c r="I18" s="69"/>
      <c r="J18" s="69"/>
      <c r="K18" s="69"/>
      <c r="L18" s="69"/>
      <c r="M18" s="69"/>
      <c r="N18" s="69"/>
      <c r="O18" s="69"/>
      <c r="P18" s="69"/>
      <c r="Q18" s="69"/>
      <c r="R18" s="69"/>
      <c r="S18" s="69"/>
      <c r="T18" s="69"/>
    </row>
    <row r="19" spans="1:20" x14ac:dyDescent="0.3">
      <c r="A19" s="69"/>
      <c r="B19" s="69"/>
      <c r="C19" s="69"/>
      <c r="D19" s="69"/>
      <c r="E19" s="69"/>
      <c r="F19" s="69"/>
      <c r="G19" s="69"/>
      <c r="H19" s="69"/>
      <c r="I19" s="69"/>
      <c r="J19" s="69"/>
      <c r="K19" s="69"/>
      <c r="L19" s="69"/>
      <c r="M19" s="69"/>
      <c r="N19" s="69"/>
      <c r="O19" s="69"/>
      <c r="P19" s="69"/>
      <c r="Q19" s="69"/>
      <c r="R19" s="69"/>
      <c r="S19" s="69"/>
      <c r="T19" s="69"/>
    </row>
    <row r="20" spans="1:20" x14ac:dyDescent="0.3">
      <c r="A20" s="69"/>
      <c r="B20" s="69"/>
      <c r="C20" s="69"/>
      <c r="D20" s="69"/>
      <c r="E20" s="69"/>
      <c r="F20" s="69"/>
      <c r="G20" s="69"/>
      <c r="H20" s="69"/>
      <c r="I20" s="69"/>
      <c r="J20" s="69"/>
      <c r="K20" s="69"/>
      <c r="L20" s="69"/>
      <c r="M20" s="69"/>
      <c r="N20" s="69"/>
      <c r="O20" s="69"/>
      <c r="P20" s="69"/>
      <c r="Q20" s="69"/>
      <c r="R20" s="69"/>
      <c r="S20" s="69"/>
      <c r="T20" s="69"/>
    </row>
    <row r="21" spans="1:20" x14ac:dyDescent="0.3">
      <c r="A21" s="69"/>
      <c r="B21" s="69"/>
      <c r="C21" s="69"/>
      <c r="D21" s="69"/>
      <c r="E21" s="69"/>
      <c r="F21" s="69"/>
      <c r="G21" s="69"/>
      <c r="H21" s="69"/>
      <c r="I21" s="69"/>
      <c r="J21" s="69"/>
      <c r="K21" s="69"/>
      <c r="L21" s="69"/>
      <c r="M21" s="69"/>
      <c r="N21" s="69"/>
      <c r="O21" s="69"/>
      <c r="P21" s="69"/>
      <c r="Q21" s="69"/>
      <c r="R21" s="69"/>
      <c r="S21" s="69"/>
      <c r="T21" s="69"/>
    </row>
    <row r="22" spans="1:20" x14ac:dyDescent="0.3">
      <c r="A22" s="69"/>
      <c r="B22" s="69"/>
      <c r="C22" s="69"/>
      <c r="D22" s="69"/>
      <c r="E22" s="69"/>
      <c r="F22" s="69"/>
      <c r="G22" s="69"/>
      <c r="H22" s="69"/>
      <c r="I22" s="69"/>
      <c r="J22" s="69"/>
      <c r="K22" s="69"/>
      <c r="L22" s="69"/>
      <c r="M22" s="69"/>
      <c r="N22" s="69"/>
      <c r="O22" s="69"/>
      <c r="P22" s="69"/>
      <c r="Q22" s="69"/>
      <c r="R22" s="69"/>
      <c r="S22" s="69"/>
      <c r="T22" s="69"/>
    </row>
    <row r="23" spans="1:20" x14ac:dyDescent="0.3">
      <c r="A23" s="69"/>
      <c r="B23" s="69"/>
      <c r="C23" s="69"/>
      <c r="D23" s="69"/>
      <c r="E23" s="69"/>
      <c r="F23" s="69"/>
      <c r="G23" s="69"/>
      <c r="H23" s="69"/>
      <c r="I23" s="69"/>
      <c r="J23" s="69"/>
      <c r="K23" s="69"/>
      <c r="L23" s="69"/>
      <c r="M23" s="69"/>
      <c r="N23" s="69"/>
      <c r="O23" s="69"/>
      <c r="P23" s="69"/>
      <c r="Q23" s="69"/>
      <c r="R23" s="69"/>
      <c r="S23" s="69"/>
      <c r="T23" s="69"/>
    </row>
    <row r="24" spans="1:20" x14ac:dyDescent="0.3">
      <c r="A24" s="69"/>
      <c r="B24" s="69"/>
      <c r="C24" s="69"/>
      <c r="D24" s="69"/>
      <c r="E24" s="69"/>
      <c r="F24" s="69"/>
      <c r="G24" s="69"/>
      <c r="H24" s="69"/>
      <c r="I24" s="69"/>
      <c r="J24" s="69"/>
      <c r="K24" s="69"/>
      <c r="L24" s="69"/>
      <c r="M24" s="69"/>
      <c r="N24" s="69"/>
      <c r="O24" s="69"/>
      <c r="P24" s="69"/>
      <c r="Q24" s="69"/>
      <c r="R24" s="69"/>
      <c r="S24" s="69"/>
      <c r="T24" s="69"/>
    </row>
    <row r="25" spans="1:20" x14ac:dyDescent="0.3">
      <c r="A25" s="69"/>
      <c r="B25" s="69"/>
      <c r="C25" s="69"/>
      <c r="D25" s="69"/>
      <c r="E25" s="69"/>
      <c r="F25" s="69"/>
      <c r="G25" s="69"/>
      <c r="H25" s="69"/>
      <c r="I25" s="69"/>
      <c r="J25" s="69"/>
      <c r="K25" s="69"/>
      <c r="L25" s="69"/>
      <c r="M25" s="69"/>
      <c r="N25" s="69"/>
      <c r="O25" s="69"/>
      <c r="P25" s="69"/>
      <c r="Q25" s="69"/>
      <c r="R25" s="69"/>
      <c r="S25" s="69"/>
      <c r="T25" s="69"/>
    </row>
    <row r="26" spans="1:20" x14ac:dyDescent="0.3">
      <c r="A26" s="69"/>
      <c r="B26" s="69"/>
      <c r="C26" s="69"/>
      <c r="D26" s="69"/>
      <c r="E26" s="69"/>
      <c r="F26" s="69"/>
      <c r="G26" s="69"/>
      <c r="H26" s="69"/>
      <c r="I26" s="69"/>
      <c r="J26" s="69"/>
      <c r="K26" s="69"/>
      <c r="L26" s="69"/>
      <c r="M26" s="69"/>
      <c r="N26" s="69"/>
      <c r="O26" s="69"/>
      <c r="P26" s="69"/>
      <c r="Q26" s="69"/>
      <c r="R26" s="69"/>
      <c r="S26" s="69"/>
      <c r="T26" s="69"/>
    </row>
    <row r="27" spans="1:20" x14ac:dyDescent="0.3">
      <c r="A27" s="69"/>
      <c r="B27" s="69"/>
      <c r="C27" s="69"/>
      <c r="D27" s="69"/>
      <c r="E27" s="69"/>
      <c r="F27" s="69"/>
      <c r="G27" s="69"/>
      <c r="H27" s="69"/>
      <c r="I27" s="69"/>
      <c r="J27" s="69"/>
      <c r="K27" s="69"/>
      <c r="L27" s="69"/>
      <c r="M27" s="69"/>
      <c r="N27" s="69"/>
      <c r="O27" s="69"/>
      <c r="P27" s="69"/>
      <c r="Q27" s="69"/>
      <c r="R27" s="69"/>
      <c r="S27" s="69"/>
      <c r="T27" s="69"/>
    </row>
    <row r="28" spans="1:20" x14ac:dyDescent="0.3">
      <c r="A28" s="69"/>
      <c r="B28" s="69"/>
      <c r="C28" s="69"/>
      <c r="D28" s="69"/>
      <c r="E28" s="69"/>
      <c r="F28" s="69"/>
      <c r="G28" s="69"/>
      <c r="H28" s="69"/>
      <c r="I28" s="69"/>
      <c r="J28" s="69"/>
      <c r="K28" s="69"/>
      <c r="L28" s="69"/>
      <c r="M28" s="69"/>
      <c r="N28" s="69"/>
      <c r="O28" s="69"/>
      <c r="P28" s="69"/>
      <c r="Q28" s="69"/>
      <c r="R28" s="69"/>
      <c r="S28" s="69"/>
      <c r="T28" s="69"/>
    </row>
    <row r="29" spans="1:20" x14ac:dyDescent="0.3">
      <c r="A29" s="69"/>
      <c r="B29" s="69"/>
      <c r="C29" s="69"/>
      <c r="D29" s="69"/>
      <c r="E29" s="69"/>
      <c r="F29" s="69"/>
      <c r="G29" s="69"/>
      <c r="H29" s="69"/>
      <c r="I29" s="69"/>
      <c r="J29" s="69"/>
      <c r="K29" s="69"/>
      <c r="L29" s="69"/>
      <c r="M29" s="69"/>
      <c r="N29" s="69"/>
      <c r="O29" s="69"/>
      <c r="P29" s="69"/>
      <c r="Q29" s="69"/>
      <c r="R29" s="69"/>
      <c r="S29" s="69"/>
      <c r="T29" s="69"/>
    </row>
    <row r="30" spans="1:20" x14ac:dyDescent="0.3">
      <c r="A30" s="69"/>
      <c r="B30" s="69"/>
      <c r="C30" s="69"/>
      <c r="D30" s="69"/>
      <c r="E30" s="69"/>
      <c r="F30" s="69"/>
      <c r="G30" s="69"/>
      <c r="H30" s="69"/>
      <c r="I30" s="69"/>
      <c r="J30" s="69"/>
      <c r="K30" s="69"/>
      <c r="L30" s="69"/>
      <c r="M30" s="69"/>
      <c r="N30" s="69"/>
      <c r="O30" s="69"/>
      <c r="P30" s="69"/>
      <c r="Q30" s="69"/>
      <c r="R30" s="69"/>
      <c r="S30" s="69"/>
      <c r="T30" s="69"/>
    </row>
    <row r="31" spans="1:20" x14ac:dyDescent="0.3">
      <c r="A31" s="69"/>
      <c r="B31" s="69"/>
      <c r="C31" s="69"/>
      <c r="D31" s="69"/>
      <c r="E31" s="69"/>
      <c r="F31" s="69"/>
      <c r="G31" s="69"/>
      <c r="H31" s="69"/>
      <c r="I31" s="69"/>
      <c r="J31" s="69"/>
      <c r="K31" s="69"/>
      <c r="L31" s="69"/>
      <c r="M31" s="69"/>
      <c r="N31" s="69"/>
      <c r="O31" s="69"/>
      <c r="P31" s="69"/>
      <c r="Q31" s="69"/>
      <c r="R31" s="69"/>
      <c r="S31" s="69"/>
      <c r="T31" s="69"/>
    </row>
    <row r="32" spans="1:20" x14ac:dyDescent="0.3">
      <c r="A32" s="69"/>
      <c r="B32" s="69"/>
      <c r="C32" s="69"/>
      <c r="D32" s="69"/>
      <c r="E32" s="69"/>
      <c r="F32" s="69"/>
      <c r="G32" s="69"/>
      <c r="H32" s="69"/>
      <c r="I32" s="69"/>
      <c r="J32" s="69"/>
      <c r="K32" s="69"/>
      <c r="L32" s="69"/>
      <c r="M32" s="69"/>
      <c r="N32" s="69"/>
      <c r="O32" s="69"/>
      <c r="P32" s="69"/>
      <c r="Q32" s="69"/>
      <c r="R32" s="69"/>
      <c r="S32" s="69"/>
      <c r="T32" s="69"/>
    </row>
    <row r="33" spans="1:20" x14ac:dyDescent="0.3">
      <c r="A33" s="69"/>
      <c r="B33" s="69"/>
      <c r="C33" s="69"/>
      <c r="D33" s="69"/>
      <c r="E33" s="69"/>
      <c r="F33" s="69"/>
      <c r="G33" s="69"/>
      <c r="H33" s="69"/>
      <c r="I33" s="69"/>
      <c r="J33" s="69"/>
      <c r="K33" s="69"/>
      <c r="L33" s="69"/>
      <c r="M33" s="69"/>
      <c r="N33" s="69"/>
      <c r="O33" s="69"/>
      <c r="P33" s="69"/>
      <c r="Q33" s="69"/>
      <c r="R33" s="69"/>
      <c r="S33" s="69"/>
      <c r="T33" s="69"/>
    </row>
    <row r="34" spans="1:20" ht="15.6" x14ac:dyDescent="0.3">
      <c r="A34" s="72" t="s">
        <v>146</v>
      </c>
      <c r="B34" s="69"/>
      <c r="C34" s="69"/>
      <c r="D34" s="69"/>
      <c r="E34" s="69"/>
      <c r="F34" s="69"/>
      <c r="G34" s="69"/>
      <c r="H34" s="69"/>
      <c r="I34" s="69"/>
      <c r="J34" s="69"/>
      <c r="K34" s="69"/>
      <c r="L34" s="69"/>
      <c r="M34" s="69"/>
      <c r="N34" s="69"/>
      <c r="O34" s="69"/>
      <c r="P34" s="69"/>
      <c r="Q34" s="69"/>
      <c r="R34" s="69"/>
      <c r="S34" s="69"/>
      <c r="T34" s="69"/>
    </row>
    <row r="35" spans="1:20" s="73" customFormat="1" ht="15.6" x14ac:dyDescent="0.3">
      <c r="A35" s="71" t="s">
        <v>147</v>
      </c>
      <c r="B35" s="71"/>
      <c r="C35" s="71"/>
      <c r="D35" s="71"/>
      <c r="E35" s="71"/>
      <c r="F35" s="71"/>
      <c r="G35" s="71"/>
      <c r="H35" s="71"/>
      <c r="I35" s="71"/>
      <c r="J35" s="71"/>
      <c r="K35" s="71"/>
      <c r="L35" s="71"/>
      <c r="M35" s="71"/>
      <c r="N35" s="71"/>
      <c r="O35" s="71"/>
      <c r="P35" s="71"/>
      <c r="Q35" s="71"/>
      <c r="R35" s="71"/>
      <c r="S35" s="71"/>
      <c r="T35" s="71"/>
    </row>
    <row r="36" spans="1:20" ht="15.6" x14ac:dyDescent="0.3">
      <c r="A36" s="71" t="s">
        <v>151</v>
      </c>
      <c r="B36" s="69"/>
      <c r="C36" s="69"/>
      <c r="D36" s="69"/>
      <c r="E36" s="69"/>
      <c r="F36" s="69"/>
      <c r="G36" s="69"/>
      <c r="H36" s="69"/>
      <c r="I36" s="69"/>
      <c r="J36" s="69"/>
      <c r="K36" s="69"/>
      <c r="L36" s="69"/>
      <c r="M36" s="69"/>
      <c r="N36" s="69"/>
      <c r="O36" s="69"/>
      <c r="P36" s="69"/>
      <c r="Q36" s="69"/>
      <c r="R36" s="69"/>
      <c r="S36" s="69"/>
      <c r="T36" s="69"/>
    </row>
    <row r="37" spans="1:20" x14ac:dyDescent="0.3">
      <c r="A37" s="69"/>
      <c r="B37" s="69"/>
      <c r="C37" s="69"/>
      <c r="D37" s="69"/>
      <c r="E37" s="69"/>
      <c r="F37" s="69"/>
      <c r="G37" s="69"/>
      <c r="H37" s="69"/>
      <c r="I37" s="69"/>
      <c r="J37" s="69"/>
      <c r="K37" s="69"/>
      <c r="L37" s="69"/>
      <c r="M37" s="69"/>
      <c r="N37" s="69"/>
      <c r="O37" s="69"/>
      <c r="P37" s="69"/>
      <c r="Q37" s="69"/>
      <c r="R37" s="69"/>
      <c r="S37" s="69"/>
      <c r="T37" s="69"/>
    </row>
    <row r="38" spans="1:20" x14ac:dyDescent="0.3">
      <c r="A38" s="69"/>
      <c r="B38" s="69"/>
      <c r="C38" s="69"/>
      <c r="D38" s="69"/>
      <c r="E38" s="69"/>
      <c r="F38" s="69"/>
      <c r="G38" s="69"/>
      <c r="H38" s="69"/>
      <c r="I38" s="69"/>
      <c r="J38" s="69"/>
      <c r="K38" s="69"/>
      <c r="L38" s="69"/>
      <c r="M38" s="69"/>
      <c r="N38" s="69"/>
      <c r="O38" s="69"/>
      <c r="P38" s="69"/>
      <c r="Q38" s="69"/>
      <c r="R38" s="69"/>
      <c r="S38" s="69"/>
      <c r="T38" s="69"/>
    </row>
    <row r="39" spans="1:20" x14ac:dyDescent="0.3">
      <c r="A39" s="69"/>
      <c r="B39" s="69"/>
      <c r="C39" s="69"/>
      <c r="D39" s="69"/>
      <c r="E39" s="69"/>
      <c r="F39" s="69"/>
      <c r="G39" s="69"/>
      <c r="H39" s="69"/>
      <c r="I39" s="69"/>
      <c r="J39" s="69"/>
      <c r="K39" s="69"/>
      <c r="L39" s="69"/>
      <c r="M39" s="69"/>
      <c r="N39" s="69"/>
      <c r="O39" s="69"/>
      <c r="P39" s="69"/>
      <c r="Q39" s="69"/>
      <c r="R39" s="69"/>
      <c r="S39" s="69"/>
      <c r="T39" s="69"/>
    </row>
    <row r="40" spans="1:20" x14ac:dyDescent="0.3">
      <c r="A40" s="69"/>
      <c r="B40" s="69"/>
      <c r="C40" s="69"/>
      <c r="D40" s="69"/>
      <c r="E40" s="69"/>
      <c r="F40" s="69"/>
      <c r="G40" s="69"/>
      <c r="H40" s="69"/>
      <c r="I40" s="69"/>
      <c r="J40" s="69"/>
      <c r="K40" s="69"/>
      <c r="L40" s="69"/>
      <c r="M40" s="69"/>
      <c r="N40" s="69"/>
      <c r="O40" s="69"/>
      <c r="P40" s="69"/>
      <c r="Q40" s="69"/>
      <c r="R40" s="69"/>
      <c r="S40" s="69"/>
      <c r="T40" s="69"/>
    </row>
    <row r="41" spans="1:20" x14ac:dyDescent="0.3">
      <c r="A41" s="69"/>
      <c r="B41" s="69"/>
      <c r="C41" s="69"/>
      <c r="D41" s="69"/>
      <c r="E41" s="69"/>
      <c r="F41" s="69"/>
      <c r="G41" s="69"/>
      <c r="H41" s="69"/>
      <c r="I41" s="69"/>
      <c r="J41" s="69"/>
      <c r="K41" s="69"/>
      <c r="L41" s="69"/>
      <c r="M41" s="69"/>
      <c r="N41" s="69"/>
      <c r="O41" s="69"/>
      <c r="P41" s="69"/>
      <c r="Q41" s="69"/>
      <c r="R41" s="69"/>
      <c r="S41" s="69"/>
      <c r="T41" s="69"/>
    </row>
    <row r="42" spans="1:20" x14ac:dyDescent="0.3">
      <c r="A42" s="69"/>
      <c r="B42" s="69"/>
      <c r="C42" s="69"/>
      <c r="D42" s="69"/>
      <c r="E42" s="69"/>
      <c r="F42" s="69"/>
      <c r="G42" s="69"/>
      <c r="H42" s="69"/>
      <c r="I42" s="69"/>
      <c r="J42" s="69"/>
      <c r="K42" s="69"/>
      <c r="L42" s="69"/>
      <c r="M42" s="69"/>
      <c r="N42" s="69"/>
      <c r="O42" s="69"/>
      <c r="P42" s="69"/>
      <c r="Q42" s="69"/>
      <c r="R42" s="69"/>
      <c r="S42" s="69"/>
      <c r="T42" s="69"/>
    </row>
    <row r="43" spans="1:20" x14ac:dyDescent="0.3">
      <c r="A43" s="69"/>
      <c r="B43" s="69"/>
      <c r="C43" s="69"/>
      <c r="D43" s="69"/>
      <c r="E43" s="69"/>
      <c r="F43" s="69"/>
      <c r="G43" s="69"/>
      <c r="H43" s="69"/>
      <c r="I43" s="69"/>
      <c r="J43" s="69"/>
      <c r="K43" s="69"/>
      <c r="L43" s="69"/>
      <c r="M43" s="69"/>
      <c r="N43" s="69"/>
      <c r="O43" s="69"/>
      <c r="P43" s="69"/>
      <c r="Q43" s="69"/>
      <c r="R43" s="69"/>
      <c r="S43" s="69"/>
      <c r="T43" s="69"/>
    </row>
    <row r="44" spans="1:20" x14ac:dyDescent="0.3">
      <c r="A44" s="69"/>
      <c r="B44" s="69"/>
      <c r="C44" s="69"/>
      <c r="D44" s="69"/>
      <c r="E44" s="69"/>
      <c r="F44" s="69"/>
      <c r="G44" s="69"/>
      <c r="H44" s="69"/>
      <c r="I44" s="69"/>
      <c r="J44" s="69"/>
      <c r="K44" s="69"/>
      <c r="L44" s="69"/>
      <c r="M44" s="69"/>
      <c r="N44" s="69"/>
      <c r="O44" s="69"/>
      <c r="P44" s="69"/>
      <c r="Q44" s="69"/>
      <c r="R44" s="69"/>
      <c r="S44" s="69"/>
      <c r="T44" s="69"/>
    </row>
    <row r="45" spans="1:20" x14ac:dyDescent="0.3">
      <c r="A45" s="69"/>
      <c r="B45" s="69"/>
      <c r="C45" s="69"/>
      <c r="D45" s="69"/>
      <c r="E45" s="69"/>
      <c r="F45" s="69"/>
      <c r="G45" s="69"/>
      <c r="H45" s="69"/>
      <c r="I45" s="69"/>
      <c r="J45" s="69"/>
      <c r="K45" s="69"/>
      <c r="L45" s="69"/>
      <c r="M45" s="69"/>
      <c r="N45" s="69"/>
      <c r="O45" s="69"/>
      <c r="P45" s="69"/>
      <c r="Q45" s="69"/>
      <c r="R45" s="69"/>
      <c r="S45" s="69"/>
      <c r="T45" s="69"/>
    </row>
    <row r="46" spans="1:20" x14ac:dyDescent="0.3">
      <c r="A46" s="69"/>
      <c r="B46" s="69"/>
      <c r="C46" s="69"/>
      <c r="D46" s="69"/>
      <c r="E46" s="69"/>
      <c r="F46" s="69"/>
      <c r="G46" s="69"/>
      <c r="H46" s="69"/>
      <c r="I46" s="69"/>
      <c r="J46" s="69"/>
      <c r="K46" s="69"/>
      <c r="L46" s="69"/>
      <c r="M46" s="69"/>
      <c r="N46" s="69"/>
      <c r="O46" s="69"/>
      <c r="P46" s="69"/>
      <c r="Q46" s="69"/>
      <c r="R46" s="69"/>
      <c r="S46" s="69"/>
      <c r="T46" s="69"/>
    </row>
    <row r="47" spans="1:20" x14ac:dyDescent="0.3">
      <c r="A47" s="69"/>
      <c r="B47" s="69"/>
      <c r="C47" s="69"/>
      <c r="D47" s="69"/>
      <c r="E47" s="69"/>
      <c r="F47" s="69"/>
      <c r="G47" s="69"/>
      <c r="H47" s="69"/>
      <c r="I47" s="69"/>
      <c r="J47" s="69"/>
      <c r="K47" s="69"/>
      <c r="L47" s="69"/>
      <c r="M47" s="69"/>
      <c r="N47" s="69"/>
      <c r="O47" s="69"/>
      <c r="P47" s="69"/>
      <c r="Q47" s="69"/>
      <c r="R47" s="69"/>
      <c r="S47" s="69"/>
      <c r="T47" s="69"/>
    </row>
    <row r="48" spans="1:20" x14ac:dyDescent="0.3">
      <c r="A48" s="69"/>
      <c r="B48" s="69"/>
      <c r="C48" s="69"/>
      <c r="D48" s="69"/>
      <c r="E48" s="69"/>
      <c r="F48" s="69"/>
      <c r="G48" s="69"/>
      <c r="H48" s="69"/>
      <c r="I48" s="69"/>
      <c r="J48" s="69"/>
      <c r="K48" s="69"/>
      <c r="L48" s="69"/>
      <c r="M48" s="69"/>
      <c r="N48" s="69"/>
      <c r="O48" s="69"/>
      <c r="P48" s="69"/>
      <c r="Q48" s="69"/>
      <c r="R48" s="69"/>
      <c r="S48" s="69"/>
      <c r="T48" s="69"/>
    </row>
    <row r="49" spans="1:20" x14ac:dyDescent="0.3">
      <c r="A49" s="69"/>
      <c r="B49" s="69"/>
      <c r="C49" s="69"/>
      <c r="D49" s="69"/>
      <c r="E49" s="69"/>
      <c r="F49" s="69"/>
      <c r="G49" s="69"/>
      <c r="H49" s="69"/>
      <c r="I49" s="69"/>
      <c r="J49" s="69"/>
      <c r="K49" s="69"/>
      <c r="L49" s="69"/>
      <c r="M49" s="69"/>
      <c r="N49" s="69"/>
      <c r="O49" s="69"/>
      <c r="P49" s="69"/>
      <c r="Q49" s="69"/>
      <c r="R49" s="69"/>
      <c r="S49" s="69"/>
      <c r="T49" s="69"/>
    </row>
    <row r="50" spans="1:20" x14ac:dyDescent="0.3">
      <c r="A50" s="69"/>
      <c r="B50" s="69"/>
      <c r="C50" s="69"/>
      <c r="D50" s="69"/>
      <c r="E50" s="69"/>
      <c r="F50" s="69"/>
      <c r="G50" s="69"/>
      <c r="H50" s="69"/>
      <c r="I50" s="69"/>
      <c r="J50" s="69"/>
      <c r="K50" s="69"/>
      <c r="L50" s="69"/>
      <c r="M50" s="69"/>
      <c r="N50" s="69"/>
      <c r="O50" s="69"/>
      <c r="P50" s="69"/>
      <c r="Q50" s="69"/>
      <c r="R50" s="69"/>
      <c r="S50" s="69"/>
      <c r="T50" s="69"/>
    </row>
    <row r="51" spans="1:20" x14ac:dyDescent="0.3">
      <c r="A51" s="69"/>
      <c r="B51" s="69"/>
      <c r="C51" s="69"/>
      <c r="D51" s="69"/>
      <c r="E51" s="69"/>
      <c r="F51" s="69"/>
      <c r="G51" s="69"/>
      <c r="H51" s="69"/>
      <c r="I51" s="69"/>
      <c r="J51" s="69"/>
      <c r="K51" s="69"/>
      <c r="L51" s="69"/>
      <c r="M51" s="69"/>
      <c r="N51" s="69"/>
      <c r="O51" s="69"/>
      <c r="P51" s="69"/>
      <c r="Q51" s="69"/>
      <c r="R51" s="69"/>
      <c r="S51" s="69"/>
      <c r="T51" s="69"/>
    </row>
    <row r="52" spans="1:20" x14ac:dyDescent="0.3">
      <c r="A52" s="69"/>
      <c r="B52" s="69"/>
      <c r="C52" s="69"/>
      <c r="D52" s="69"/>
      <c r="E52" s="69"/>
      <c r="F52" s="69"/>
      <c r="G52" s="69"/>
      <c r="H52" s="69"/>
      <c r="I52" s="69"/>
      <c r="J52" s="69"/>
      <c r="K52" s="69"/>
      <c r="L52" s="69"/>
      <c r="M52" s="69"/>
      <c r="N52" s="69"/>
      <c r="O52" s="69"/>
      <c r="P52" s="69"/>
      <c r="Q52" s="69"/>
      <c r="R52" s="69"/>
      <c r="S52" s="69"/>
      <c r="T52" s="69"/>
    </row>
    <row r="53" spans="1:20" x14ac:dyDescent="0.3">
      <c r="A53" s="69"/>
      <c r="B53" s="69"/>
      <c r="C53" s="69"/>
      <c r="D53" s="69"/>
      <c r="E53" s="69"/>
      <c r="F53" s="69"/>
      <c r="G53" s="69"/>
      <c r="H53" s="69"/>
      <c r="I53" s="69"/>
      <c r="J53" s="69"/>
      <c r="K53" s="69"/>
      <c r="L53" s="69"/>
      <c r="M53" s="69"/>
      <c r="N53" s="69"/>
      <c r="O53" s="69"/>
      <c r="P53" s="69"/>
      <c r="Q53" s="69"/>
      <c r="R53" s="69"/>
      <c r="S53" s="69"/>
      <c r="T53" s="69"/>
    </row>
    <row r="54" spans="1:20" ht="15.6" x14ac:dyDescent="0.3">
      <c r="A54" s="72" t="s">
        <v>149</v>
      </c>
      <c r="B54" s="69"/>
      <c r="C54" s="69"/>
      <c r="D54" s="69"/>
      <c r="E54" s="69"/>
      <c r="F54" s="69"/>
      <c r="G54" s="69"/>
      <c r="H54" s="69"/>
      <c r="I54" s="69"/>
      <c r="J54" s="69"/>
      <c r="K54" s="69"/>
      <c r="L54" s="69"/>
      <c r="M54" s="69"/>
      <c r="N54" s="69"/>
      <c r="O54" s="69"/>
      <c r="P54" s="69"/>
      <c r="Q54" s="69"/>
      <c r="R54" s="69"/>
      <c r="S54" s="69"/>
      <c r="T54" s="69"/>
    </row>
    <row r="55" spans="1:20" ht="15.6" x14ac:dyDescent="0.3">
      <c r="A55" s="71" t="s">
        <v>150</v>
      </c>
      <c r="B55" s="69"/>
      <c r="C55" s="69"/>
      <c r="D55" s="69"/>
      <c r="E55" s="69"/>
      <c r="F55" s="69"/>
      <c r="G55" s="69"/>
      <c r="H55" s="69"/>
      <c r="I55" s="69"/>
      <c r="J55" s="69"/>
      <c r="K55" s="69"/>
      <c r="L55" s="69"/>
      <c r="M55" s="69"/>
      <c r="N55" s="69"/>
      <c r="O55" s="69"/>
      <c r="P55" s="69"/>
      <c r="Q55" s="69"/>
      <c r="R55" s="69"/>
      <c r="S55" s="69"/>
      <c r="T55" s="69"/>
    </row>
    <row r="56" spans="1:20" ht="15.6" x14ac:dyDescent="0.3">
      <c r="A56" s="71" t="s">
        <v>162</v>
      </c>
      <c r="B56" s="69"/>
      <c r="C56" s="69"/>
      <c r="D56" s="69"/>
      <c r="E56" s="69"/>
      <c r="F56" s="69"/>
      <c r="G56" s="69"/>
      <c r="H56" s="69"/>
      <c r="I56" s="69"/>
      <c r="J56" s="69"/>
      <c r="K56" s="69"/>
      <c r="L56" s="69"/>
      <c r="M56" s="69"/>
      <c r="N56" s="69"/>
      <c r="O56" s="69"/>
      <c r="P56" s="69"/>
      <c r="Q56" s="69"/>
      <c r="R56" s="69"/>
      <c r="S56" s="69"/>
      <c r="T56" s="69"/>
    </row>
    <row r="57" spans="1:20" x14ac:dyDescent="0.3">
      <c r="A57" s="69"/>
      <c r="B57" s="69"/>
      <c r="C57" s="69"/>
      <c r="D57" s="69"/>
      <c r="E57" s="69"/>
      <c r="F57" s="69"/>
      <c r="G57" s="69"/>
      <c r="H57" s="69"/>
      <c r="I57" s="69"/>
      <c r="J57" s="69"/>
      <c r="K57" s="69"/>
      <c r="L57" s="69"/>
      <c r="M57" s="69"/>
      <c r="N57" s="69"/>
      <c r="O57" s="69"/>
      <c r="P57" s="69"/>
      <c r="Q57" s="69"/>
      <c r="R57" s="69"/>
      <c r="S57" s="69"/>
      <c r="T57" s="69"/>
    </row>
    <row r="58" spans="1:20" x14ac:dyDescent="0.3">
      <c r="A58" s="69"/>
      <c r="B58" s="69"/>
      <c r="C58" s="69"/>
      <c r="D58" s="69"/>
      <c r="E58" s="69"/>
      <c r="F58" s="69"/>
      <c r="G58" s="69"/>
      <c r="H58" s="69"/>
      <c r="I58" s="69"/>
      <c r="J58" s="69"/>
      <c r="K58" s="69"/>
      <c r="L58" s="69"/>
      <c r="M58" s="69"/>
      <c r="N58" s="69"/>
      <c r="O58" s="69"/>
      <c r="P58" s="69"/>
      <c r="Q58" s="69"/>
      <c r="R58" s="69"/>
      <c r="S58" s="69"/>
      <c r="T58" s="69"/>
    </row>
    <row r="59" spans="1:20" x14ac:dyDescent="0.3">
      <c r="A59" s="69"/>
      <c r="B59" s="69"/>
      <c r="C59" s="69"/>
      <c r="D59" s="69"/>
      <c r="E59" s="69"/>
      <c r="F59" s="69"/>
      <c r="G59" s="69"/>
      <c r="H59" s="69"/>
      <c r="I59" s="69"/>
      <c r="J59" s="69"/>
      <c r="K59" s="69"/>
      <c r="L59" s="69"/>
      <c r="M59" s="69"/>
      <c r="N59" s="69"/>
      <c r="O59" s="69"/>
      <c r="P59" s="69"/>
      <c r="Q59" s="69"/>
      <c r="R59" s="69"/>
      <c r="S59" s="69"/>
      <c r="T59" s="69"/>
    </row>
    <row r="60" spans="1:20" x14ac:dyDescent="0.3">
      <c r="A60" s="69"/>
      <c r="B60" s="69"/>
      <c r="C60" s="69"/>
      <c r="D60" s="69"/>
      <c r="E60" s="69"/>
      <c r="F60" s="69"/>
      <c r="G60" s="69"/>
      <c r="H60" s="69"/>
      <c r="I60" s="69"/>
      <c r="J60" s="69"/>
      <c r="K60" s="69"/>
      <c r="L60" s="69"/>
      <c r="M60" s="69"/>
      <c r="N60" s="69"/>
      <c r="O60" s="69"/>
      <c r="P60" s="69"/>
      <c r="Q60" s="69"/>
      <c r="R60" s="69"/>
      <c r="S60" s="69"/>
      <c r="T60" s="69"/>
    </row>
    <row r="61" spans="1:20" x14ac:dyDescent="0.3">
      <c r="A61" s="69"/>
      <c r="B61" s="69"/>
      <c r="C61" s="69"/>
      <c r="D61" s="69"/>
      <c r="E61" s="69"/>
      <c r="F61" s="69"/>
      <c r="G61" s="69"/>
      <c r="H61" s="69"/>
      <c r="I61" s="69"/>
      <c r="J61" s="69"/>
      <c r="K61" s="69"/>
      <c r="L61" s="69"/>
      <c r="M61" s="69"/>
      <c r="N61" s="69"/>
      <c r="O61" s="69"/>
      <c r="P61" s="69"/>
      <c r="Q61" s="69"/>
      <c r="R61" s="69"/>
      <c r="S61" s="69"/>
      <c r="T61" s="69"/>
    </row>
    <row r="62" spans="1:20" x14ac:dyDescent="0.3">
      <c r="A62" s="69"/>
      <c r="B62" s="69"/>
      <c r="C62" s="69"/>
      <c r="D62" s="69"/>
      <c r="E62" s="69"/>
      <c r="F62" s="69"/>
      <c r="G62" s="69"/>
      <c r="H62" s="69"/>
      <c r="I62" s="69"/>
      <c r="J62" s="69"/>
      <c r="K62" s="69"/>
      <c r="L62" s="69"/>
      <c r="M62" s="69"/>
      <c r="N62" s="69"/>
      <c r="O62" s="69"/>
      <c r="P62" s="69"/>
      <c r="Q62" s="69"/>
      <c r="R62" s="69"/>
      <c r="S62" s="69"/>
      <c r="T62" s="69"/>
    </row>
    <row r="63" spans="1:20" x14ac:dyDescent="0.3">
      <c r="A63" s="69"/>
      <c r="B63" s="69"/>
      <c r="C63" s="69"/>
      <c r="D63" s="69"/>
      <c r="E63" s="69"/>
      <c r="F63" s="69"/>
      <c r="G63" s="69"/>
      <c r="H63" s="69"/>
      <c r="I63" s="69"/>
      <c r="J63" s="69"/>
      <c r="K63" s="69"/>
      <c r="L63" s="69"/>
      <c r="M63" s="69"/>
      <c r="N63" s="69"/>
      <c r="O63" s="69"/>
      <c r="P63" s="69"/>
      <c r="Q63" s="69"/>
      <c r="R63" s="69"/>
      <c r="S63" s="69"/>
      <c r="T63" s="69"/>
    </row>
    <row r="64" spans="1:20" x14ac:dyDescent="0.3">
      <c r="A64" s="69"/>
      <c r="B64" s="69"/>
      <c r="C64" s="69"/>
      <c r="D64" s="69"/>
      <c r="E64" s="69"/>
      <c r="F64" s="69"/>
      <c r="G64" s="69"/>
      <c r="H64" s="69"/>
      <c r="I64" s="69"/>
      <c r="J64" s="69"/>
      <c r="K64" s="69"/>
      <c r="L64" s="69"/>
      <c r="M64" s="69"/>
      <c r="N64" s="69"/>
      <c r="O64" s="69"/>
      <c r="P64" s="69"/>
      <c r="Q64" s="69"/>
      <c r="R64" s="69"/>
      <c r="S64" s="69"/>
      <c r="T64" s="69"/>
    </row>
    <row r="65" spans="1:20" x14ac:dyDescent="0.3">
      <c r="A65" s="69"/>
      <c r="B65" s="69"/>
      <c r="C65" s="69"/>
      <c r="D65" s="69"/>
      <c r="E65" s="69"/>
      <c r="F65" s="69"/>
      <c r="G65" s="69"/>
      <c r="H65" s="69"/>
      <c r="I65" s="69"/>
      <c r="J65" s="69"/>
      <c r="K65" s="69"/>
      <c r="L65" s="69"/>
      <c r="M65" s="69"/>
      <c r="N65" s="69"/>
      <c r="O65" s="69"/>
      <c r="P65" s="69"/>
      <c r="Q65" s="69"/>
      <c r="R65" s="69"/>
      <c r="S65" s="69"/>
      <c r="T65" s="69"/>
    </row>
    <row r="66" spans="1:20" x14ac:dyDescent="0.3">
      <c r="A66" s="69"/>
      <c r="B66" s="69"/>
      <c r="C66" s="69"/>
      <c r="D66" s="69"/>
      <c r="E66" s="69"/>
      <c r="F66" s="69"/>
      <c r="G66" s="69"/>
      <c r="H66" s="69"/>
      <c r="I66" s="69"/>
      <c r="J66" s="69"/>
      <c r="K66" s="69"/>
      <c r="L66" s="69"/>
      <c r="M66" s="69"/>
      <c r="N66" s="69"/>
      <c r="O66" s="69"/>
      <c r="P66" s="69"/>
      <c r="Q66" s="69"/>
      <c r="R66" s="69"/>
      <c r="S66" s="69"/>
      <c r="T66" s="69"/>
    </row>
    <row r="67" spans="1:20" x14ac:dyDescent="0.3">
      <c r="A67" s="69"/>
      <c r="B67" s="69"/>
      <c r="C67" s="69"/>
      <c r="D67" s="69"/>
      <c r="E67" s="69"/>
      <c r="F67" s="69"/>
      <c r="G67" s="69"/>
      <c r="H67" s="69"/>
      <c r="I67" s="69"/>
      <c r="J67" s="69"/>
      <c r="K67" s="69"/>
      <c r="L67" s="69"/>
      <c r="M67" s="69"/>
      <c r="N67" s="69"/>
      <c r="O67" s="69"/>
      <c r="P67" s="69"/>
      <c r="Q67" s="69"/>
      <c r="R67" s="69"/>
      <c r="S67" s="69"/>
      <c r="T67" s="69"/>
    </row>
    <row r="68" spans="1:20" x14ac:dyDescent="0.3">
      <c r="A68" s="69"/>
      <c r="B68" s="69"/>
      <c r="C68" s="69"/>
      <c r="D68" s="69"/>
      <c r="E68" s="69"/>
      <c r="F68" s="69"/>
      <c r="G68" s="69"/>
      <c r="H68" s="69"/>
      <c r="I68" s="69"/>
      <c r="J68" s="69"/>
      <c r="K68" s="69"/>
      <c r="L68" s="69"/>
      <c r="M68" s="69"/>
      <c r="N68" s="69"/>
      <c r="O68" s="69"/>
      <c r="P68" s="69"/>
      <c r="Q68" s="69"/>
      <c r="R68" s="69"/>
      <c r="S68" s="69"/>
      <c r="T68" s="69"/>
    </row>
    <row r="69" spans="1:20" x14ac:dyDescent="0.3">
      <c r="A69" s="69"/>
      <c r="B69" s="69"/>
      <c r="C69" s="69"/>
      <c r="D69" s="69"/>
      <c r="E69" s="69"/>
      <c r="F69" s="69"/>
      <c r="G69" s="69"/>
      <c r="H69" s="69"/>
      <c r="I69" s="69"/>
      <c r="J69" s="69"/>
      <c r="K69" s="69"/>
      <c r="L69" s="69"/>
      <c r="M69" s="69"/>
      <c r="N69" s="69"/>
      <c r="O69" s="69"/>
      <c r="P69" s="69"/>
      <c r="Q69" s="69"/>
      <c r="R69" s="69"/>
      <c r="S69" s="69"/>
      <c r="T69" s="69"/>
    </row>
    <row r="70" spans="1:20" x14ac:dyDescent="0.3">
      <c r="A70" s="69"/>
      <c r="B70" s="69"/>
      <c r="C70" s="69"/>
      <c r="D70" s="69"/>
      <c r="E70" s="69"/>
      <c r="F70" s="69"/>
      <c r="G70" s="69"/>
      <c r="H70" s="69"/>
      <c r="I70" s="69"/>
      <c r="J70" s="69"/>
      <c r="K70" s="69"/>
      <c r="L70" s="69"/>
      <c r="M70" s="69"/>
      <c r="N70" s="69"/>
      <c r="O70" s="69"/>
      <c r="P70" s="69"/>
      <c r="Q70" s="69"/>
      <c r="R70" s="69"/>
      <c r="S70" s="69"/>
      <c r="T70" s="69"/>
    </row>
    <row r="71" spans="1:20" x14ac:dyDescent="0.3">
      <c r="A71" s="69"/>
      <c r="B71" s="69"/>
      <c r="C71" s="69"/>
      <c r="D71" s="69"/>
      <c r="E71" s="69"/>
      <c r="F71" s="69"/>
      <c r="G71" s="69"/>
      <c r="H71" s="69"/>
      <c r="I71" s="69"/>
      <c r="J71" s="69"/>
      <c r="K71" s="69"/>
      <c r="L71" s="69"/>
      <c r="M71" s="69"/>
      <c r="N71" s="69"/>
      <c r="O71" s="69"/>
      <c r="P71" s="69"/>
      <c r="Q71" s="69"/>
      <c r="R71" s="69"/>
      <c r="S71" s="69"/>
      <c r="T71" s="69"/>
    </row>
    <row r="72" spans="1:20" x14ac:dyDescent="0.3">
      <c r="A72" s="69"/>
      <c r="B72" s="69"/>
      <c r="C72" s="69"/>
      <c r="D72" s="69"/>
      <c r="E72" s="69"/>
      <c r="F72" s="69"/>
      <c r="G72" s="69"/>
      <c r="H72" s="69"/>
      <c r="I72" s="69"/>
      <c r="J72" s="69"/>
      <c r="K72" s="69"/>
      <c r="L72" s="69"/>
      <c r="M72" s="69"/>
      <c r="N72" s="69"/>
      <c r="O72" s="69"/>
      <c r="P72" s="69"/>
      <c r="Q72" s="69"/>
      <c r="R72" s="69"/>
      <c r="S72" s="69"/>
      <c r="T72" s="69"/>
    </row>
    <row r="73" spans="1:20" x14ac:dyDescent="0.3">
      <c r="A73" s="69"/>
      <c r="B73" s="69"/>
      <c r="C73" s="69"/>
      <c r="D73" s="69"/>
      <c r="E73" s="69"/>
      <c r="F73" s="69"/>
      <c r="G73" s="69"/>
      <c r="H73" s="69"/>
      <c r="I73" s="69"/>
      <c r="J73" s="69"/>
      <c r="K73" s="69"/>
      <c r="L73" s="69"/>
      <c r="M73" s="69"/>
      <c r="N73" s="69"/>
      <c r="O73" s="69"/>
      <c r="P73" s="69"/>
      <c r="Q73" s="69"/>
      <c r="R73" s="69"/>
      <c r="S73" s="69"/>
      <c r="T73" s="69"/>
    </row>
    <row r="74" spans="1:20" ht="17.399999999999999" customHeight="1" x14ac:dyDescent="0.3">
      <c r="A74" s="72" t="s">
        <v>152</v>
      </c>
      <c r="B74" s="69"/>
      <c r="C74" s="69"/>
      <c r="D74" s="69"/>
      <c r="E74" s="69"/>
      <c r="F74" s="69"/>
      <c r="G74" s="69"/>
      <c r="H74" s="69"/>
      <c r="I74" s="69"/>
      <c r="J74" s="69"/>
      <c r="K74" s="69"/>
      <c r="L74" s="69"/>
      <c r="M74" s="69"/>
      <c r="N74" s="69"/>
      <c r="O74" s="69"/>
      <c r="P74" s="69"/>
      <c r="Q74" s="69"/>
      <c r="R74" s="69"/>
      <c r="S74" s="69"/>
      <c r="T74" s="69"/>
    </row>
    <row r="75" spans="1:20" ht="15.6" x14ac:dyDescent="0.3">
      <c r="A75" s="71" t="s">
        <v>153</v>
      </c>
      <c r="B75" s="70"/>
      <c r="C75" s="70"/>
      <c r="D75" s="70"/>
      <c r="E75" s="70"/>
      <c r="F75" s="70"/>
      <c r="G75" s="70"/>
      <c r="H75" s="70"/>
      <c r="I75" s="70"/>
      <c r="J75" s="70"/>
      <c r="K75" s="70"/>
      <c r="L75" s="70"/>
      <c r="M75" s="70"/>
      <c r="N75" s="70"/>
      <c r="O75" s="70"/>
      <c r="P75" s="70"/>
      <c r="Q75" s="69"/>
      <c r="R75" s="69"/>
      <c r="S75" s="69"/>
      <c r="T75" s="69"/>
    </row>
    <row r="76" spans="1:20" ht="15.6" x14ac:dyDescent="0.3">
      <c r="A76" s="71" t="s">
        <v>154</v>
      </c>
      <c r="B76" s="70"/>
      <c r="C76" s="70"/>
      <c r="D76" s="70"/>
      <c r="E76" s="70"/>
      <c r="F76" s="70"/>
      <c r="G76" s="70"/>
      <c r="H76" s="70"/>
      <c r="I76" s="70"/>
      <c r="J76" s="70"/>
      <c r="K76" s="70"/>
      <c r="L76" s="70"/>
      <c r="M76" s="70"/>
      <c r="N76" s="70"/>
      <c r="O76" s="70"/>
      <c r="P76" s="70"/>
      <c r="Q76" s="69"/>
      <c r="R76" s="69"/>
      <c r="S76" s="69"/>
      <c r="T76" s="69"/>
    </row>
    <row r="77" spans="1:20" ht="15.6" x14ac:dyDescent="0.3">
      <c r="A77" s="71" t="s">
        <v>155</v>
      </c>
      <c r="B77" s="70"/>
      <c r="C77" s="70"/>
      <c r="D77" s="70"/>
      <c r="E77" s="70"/>
      <c r="F77" s="70"/>
      <c r="G77" s="70"/>
      <c r="H77" s="70"/>
      <c r="I77" s="70"/>
      <c r="J77" s="70"/>
      <c r="K77" s="70"/>
      <c r="L77" s="70"/>
      <c r="M77" s="70"/>
      <c r="N77" s="70"/>
      <c r="O77" s="70"/>
      <c r="P77" s="70"/>
      <c r="Q77" s="69"/>
      <c r="R77" s="69"/>
      <c r="S77" s="69"/>
      <c r="T77" s="69"/>
    </row>
    <row r="78" spans="1:20" x14ac:dyDescent="0.3">
      <c r="A78" s="69"/>
      <c r="B78" s="69"/>
      <c r="C78" s="69"/>
      <c r="D78" s="69"/>
      <c r="E78" s="69"/>
      <c r="F78" s="69"/>
      <c r="G78" s="69"/>
      <c r="H78" s="69"/>
      <c r="I78" s="69"/>
      <c r="J78" s="69"/>
      <c r="K78" s="69"/>
      <c r="L78" s="69"/>
      <c r="M78" s="69"/>
      <c r="N78" s="69"/>
      <c r="O78" s="69"/>
      <c r="P78" s="69"/>
      <c r="Q78" s="69"/>
      <c r="R78" s="69"/>
      <c r="S78" s="69"/>
      <c r="T78" s="69"/>
    </row>
    <row r="79" spans="1:20" x14ac:dyDescent="0.3">
      <c r="A79" s="69"/>
      <c r="B79" s="69"/>
      <c r="C79" s="69"/>
      <c r="D79" s="69"/>
      <c r="E79" s="69"/>
      <c r="F79" s="69"/>
      <c r="G79" s="69"/>
      <c r="H79" s="69"/>
      <c r="I79" s="69"/>
      <c r="J79" s="69"/>
      <c r="K79" s="69"/>
      <c r="L79" s="69"/>
      <c r="M79" s="69"/>
      <c r="N79" s="69"/>
      <c r="O79" s="69"/>
      <c r="P79" s="69"/>
      <c r="Q79" s="69"/>
      <c r="R79" s="69"/>
      <c r="S79" s="69"/>
      <c r="T79" s="69"/>
    </row>
    <row r="80" spans="1:20" x14ac:dyDescent="0.3">
      <c r="A80" s="69"/>
      <c r="B80" s="69"/>
      <c r="C80" s="69"/>
      <c r="D80" s="69"/>
      <c r="E80" s="69"/>
      <c r="F80" s="69"/>
      <c r="G80" s="69"/>
      <c r="H80" s="69"/>
      <c r="I80" s="69"/>
      <c r="J80" s="69"/>
      <c r="K80" s="69"/>
      <c r="L80" s="69"/>
      <c r="M80" s="69"/>
      <c r="N80" s="69"/>
      <c r="O80" s="69"/>
      <c r="P80" s="69"/>
      <c r="Q80" s="69"/>
      <c r="R80" s="69"/>
      <c r="S80" s="69"/>
      <c r="T80" s="69"/>
    </row>
    <row r="81" spans="1:20" x14ac:dyDescent="0.3">
      <c r="A81" s="69"/>
      <c r="B81" s="69"/>
      <c r="C81" s="69"/>
      <c r="D81" s="69"/>
      <c r="E81" s="69"/>
      <c r="F81" s="69"/>
      <c r="G81" s="69"/>
      <c r="H81" s="69"/>
      <c r="I81" s="69"/>
      <c r="J81" s="69"/>
      <c r="K81" s="69"/>
      <c r="L81" s="69"/>
      <c r="M81" s="69"/>
      <c r="N81" s="69"/>
      <c r="O81" s="69"/>
      <c r="P81" s="69"/>
      <c r="Q81" s="69"/>
      <c r="R81" s="69"/>
      <c r="S81" s="69"/>
      <c r="T81" s="69"/>
    </row>
    <row r="82" spans="1:20" x14ac:dyDescent="0.3">
      <c r="A82" s="69"/>
      <c r="B82" s="69"/>
      <c r="C82" s="69"/>
      <c r="D82" s="69"/>
      <c r="E82" s="69"/>
      <c r="F82" s="69"/>
      <c r="G82" s="69"/>
      <c r="H82" s="69"/>
      <c r="I82" s="69"/>
      <c r="J82" s="69"/>
      <c r="K82" s="69"/>
      <c r="L82" s="69"/>
      <c r="M82" s="69"/>
      <c r="N82" s="69"/>
      <c r="O82" s="69"/>
      <c r="P82" s="69"/>
      <c r="Q82" s="69"/>
      <c r="R82" s="69"/>
      <c r="S82" s="69"/>
      <c r="T82" s="69"/>
    </row>
    <row r="83" spans="1:20" x14ac:dyDescent="0.3">
      <c r="A83" s="69"/>
      <c r="B83" s="69"/>
      <c r="C83" s="69"/>
      <c r="D83" s="69"/>
      <c r="E83" s="69"/>
      <c r="F83" s="69"/>
      <c r="G83" s="69"/>
      <c r="H83" s="69"/>
      <c r="I83" s="69"/>
      <c r="J83" s="69"/>
      <c r="K83" s="69"/>
      <c r="L83" s="69"/>
      <c r="M83" s="69"/>
      <c r="N83" s="69"/>
      <c r="O83" s="69"/>
      <c r="P83" s="69"/>
      <c r="Q83" s="69"/>
      <c r="R83" s="69"/>
      <c r="S83" s="69"/>
      <c r="T83" s="69"/>
    </row>
    <row r="84" spans="1:20" x14ac:dyDescent="0.3">
      <c r="A84" s="69"/>
      <c r="B84" s="69"/>
      <c r="C84" s="69"/>
      <c r="D84" s="69"/>
      <c r="E84" s="69"/>
      <c r="F84" s="69"/>
      <c r="G84" s="69"/>
      <c r="H84" s="69"/>
      <c r="I84" s="69"/>
      <c r="J84" s="69"/>
      <c r="K84" s="69"/>
      <c r="L84" s="69"/>
      <c r="M84" s="69"/>
      <c r="N84" s="69"/>
      <c r="O84" s="69"/>
      <c r="P84" s="69"/>
      <c r="Q84" s="69"/>
      <c r="R84" s="69"/>
      <c r="S84" s="69"/>
      <c r="T84" s="69"/>
    </row>
    <row r="85" spans="1:20" x14ac:dyDescent="0.3">
      <c r="A85" s="69"/>
      <c r="B85" s="69"/>
      <c r="C85" s="69"/>
      <c r="D85" s="69"/>
      <c r="E85" s="69"/>
      <c r="F85" s="69"/>
      <c r="G85" s="69"/>
      <c r="H85" s="69"/>
      <c r="I85" s="69"/>
      <c r="J85" s="69"/>
      <c r="K85" s="69"/>
      <c r="L85" s="69"/>
      <c r="M85" s="69"/>
      <c r="N85" s="69"/>
      <c r="O85" s="69"/>
      <c r="P85" s="69"/>
      <c r="Q85" s="69"/>
      <c r="R85" s="69"/>
      <c r="S85" s="69"/>
      <c r="T85" s="69"/>
    </row>
    <row r="86" spans="1:20" x14ac:dyDescent="0.3">
      <c r="A86" s="69"/>
      <c r="B86" s="69"/>
      <c r="C86" s="69"/>
      <c r="D86" s="69"/>
      <c r="E86" s="69"/>
      <c r="F86" s="69"/>
      <c r="G86" s="69"/>
      <c r="H86" s="69"/>
      <c r="I86" s="69"/>
      <c r="J86" s="69"/>
      <c r="K86" s="69"/>
      <c r="L86" s="69"/>
      <c r="M86" s="69"/>
      <c r="N86" s="69"/>
      <c r="O86" s="69"/>
      <c r="P86" s="69"/>
      <c r="Q86" s="69"/>
      <c r="R86" s="69"/>
      <c r="S86" s="69"/>
      <c r="T86" s="69"/>
    </row>
    <row r="87" spans="1:20" ht="15.6" x14ac:dyDescent="0.3">
      <c r="A87" s="69"/>
      <c r="B87" s="69"/>
      <c r="C87" s="69"/>
      <c r="D87" s="69"/>
      <c r="E87" s="69"/>
      <c r="F87" s="69"/>
      <c r="G87" s="69"/>
      <c r="H87" s="69"/>
      <c r="I87" s="69"/>
      <c r="J87" s="69"/>
      <c r="K87" s="69"/>
      <c r="L87" s="69"/>
      <c r="M87" s="69"/>
      <c r="N87" s="69"/>
      <c r="O87" s="69"/>
      <c r="P87" s="72"/>
      <c r="Q87" s="69"/>
      <c r="R87" s="69"/>
      <c r="S87" s="69"/>
      <c r="T87" s="69"/>
    </row>
    <row r="88" spans="1:20" ht="15.6" x14ac:dyDescent="0.3">
      <c r="A88" s="69"/>
      <c r="B88" s="69"/>
      <c r="C88" s="69"/>
      <c r="D88" s="69"/>
      <c r="E88" s="69"/>
      <c r="F88" s="69"/>
      <c r="G88" s="69"/>
      <c r="H88" s="69"/>
      <c r="I88" s="69"/>
      <c r="J88" s="69"/>
      <c r="K88" s="69"/>
      <c r="L88" s="69"/>
      <c r="M88" s="69"/>
      <c r="N88" s="69"/>
      <c r="O88" s="69"/>
      <c r="P88" s="72"/>
      <c r="Q88" s="69"/>
      <c r="R88" s="69"/>
      <c r="S88" s="69"/>
      <c r="T88" s="69"/>
    </row>
    <row r="89" spans="1:20" x14ac:dyDescent="0.3">
      <c r="A89" s="69"/>
      <c r="B89" s="69"/>
      <c r="C89" s="69"/>
      <c r="D89" s="69"/>
      <c r="E89" s="69"/>
      <c r="F89" s="69"/>
      <c r="G89" s="69"/>
      <c r="H89" s="69"/>
      <c r="I89" s="69"/>
      <c r="J89" s="69"/>
      <c r="K89" s="69"/>
      <c r="L89" s="69"/>
      <c r="M89" s="69"/>
      <c r="N89" s="69"/>
      <c r="O89" s="69"/>
      <c r="P89" s="69"/>
      <c r="Q89" s="69"/>
      <c r="R89" s="69"/>
      <c r="S89" s="69"/>
      <c r="T89" s="69"/>
    </row>
    <row r="90" spans="1:20" x14ac:dyDescent="0.3">
      <c r="A90" s="69"/>
      <c r="B90" s="69"/>
      <c r="C90" s="69"/>
      <c r="D90" s="69"/>
      <c r="E90" s="69"/>
      <c r="F90" s="69"/>
      <c r="G90" s="69"/>
      <c r="H90" s="69"/>
      <c r="I90" s="69"/>
      <c r="J90" s="69"/>
      <c r="K90" s="69"/>
      <c r="L90" s="69"/>
      <c r="M90" s="69"/>
      <c r="N90" s="69"/>
      <c r="O90" s="69"/>
      <c r="P90" s="69"/>
      <c r="Q90" s="69"/>
      <c r="R90" s="69"/>
      <c r="S90" s="69"/>
      <c r="T90" s="69"/>
    </row>
    <row r="91" spans="1:20" x14ac:dyDescent="0.3">
      <c r="A91" s="69"/>
      <c r="B91" s="69"/>
      <c r="C91" s="69"/>
      <c r="D91" s="69"/>
      <c r="E91" s="69"/>
      <c r="F91" s="69"/>
      <c r="G91" s="69"/>
      <c r="H91" s="69"/>
      <c r="I91" s="69"/>
      <c r="J91" s="69"/>
      <c r="K91" s="69"/>
      <c r="L91" s="69"/>
      <c r="M91" s="69"/>
      <c r="N91" s="69"/>
      <c r="O91" s="69"/>
      <c r="P91" s="69"/>
      <c r="Q91" s="69"/>
      <c r="R91" s="69"/>
      <c r="S91" s="69"/>
      <c r="T91" s="69"/>
    </row>
    <row r="92" spans="1:20" x14ac:dyDescent="0.3">
      <c r="A92" s="69"/>
      <c r="B92" s="69"/>
      <c r="C92" s="69"/>
      <c r="D92" s="69"/>
      <c r="E92" s="69"/>
      <c r="F92" s="69"/>
      <c r="G92" s="69"/>
      <c r="H92" s="69"/>
      <c r="I92" s="69"/>
      <c r="J92" s="69"/>
      <c r="K92" s="69"/>
      <c r="L92" s="69"/>
      <c r="M92" s="69"/>
      <c r="N92" s="69"/>
      <c r="O92" s="69"/>
      <c r="P92" s="69"/>
      <c r="Q92" s="69"/>
      <c r="R92" s="69"/>
      <c r="S92" s="69"/>
      <c r="T92" s="69"/>
    </row>
    <row r="93" spans="1:20" x14ac:dyDescent="0.3">
      <c r="A93" s="69"/>
      <c r="B93" s="69"/>
      <c r="C93" s="69"/>
      <c r="D93" s="69"/>
      <c r="E93" s="69"/>
      <c r="F93" s="69"/>
      <c r="G93" s="69"/>
      <c r="H93" s="69"/>
      <c r="I93" s="69"/>
      <c r="J93" s="69"/>
      <c r="K93" s="69"/>
      <c r="L93" s="69"/>
      <c r="M93" s="69"/>
      <c r="N93" s="69"/>
      <c r="O93" s="69"/>
      <c r="P93" s="69"/>
      <c r="Q93" s="69"/>
      <c r="R93" s="69"/>
      <c r="S93" s="69"/>
      <c r="T93" s="69"/>
    </row>
    <row r="94" spans="1:20" x14ac:dyDescent="0.3">
      <c r="A94" s="69"/>
      <c r="B94" s="69"/>
      <c r="C94" s="69"/>
      <c r="D94" s="69"/>
      <c r="E94" s="69"/>
      <c r="F94" s="69"/>
      <c r="G94" s="69"/>
      <c r="H94" s="69"/>
      <c r="I94" s="69"/>
      <c r="J94" s="69"/>
      <c r="K94" s="69"/>
      <c r="L94" s="69"/>
      <c r="M94" s="69"/>
      <c r="N94" s="69"/>
      <c r="O94" s="69"/>
      <c r="P94" s="69"/>
      <c r="Q94" s="69"/>
      <c r="R94" s="69"/>
      <c r="S94" s="69"/>
      <c r="T94" s="69"/>
    </row>
    <row r="95" spans="1:20" x14ac:dyDescent="0.3">
      <c r="A95" s="69"/>
      <c r="B95" s="69"/>
      <c r="C95" s="69"/>
      <c r="D95" s="69"/>
      <c r="E95" s="69"/>
      <c r="F95" s="69"/>
      <c r="G95" s="69"/>
      <c r="H95" s="69"/>
      <c r="I95" s="69"/>
      <c r="J95" s="69"/>
      <c r="K95" s="69"/>
      <c r="L95" s="69"/>
      <c r="M95" s="69"/>
      <c r="N95" s="69"/>
      <c r="O95" s="69"/>
      <c r="P95" s="69"/>
      <c r="Q95" s="69"/>
      <c r="R95" s="69"/>
      <c r="S95" s="69"/>
      <c r="T95" s="69"/>
    </row>
    <row r="96" spans="1:20" ht="15.6" x14ac:dyDescent="0.3">
      <c r="A96" s="69"/>
      <c r="B96" s="69"/>
      <c r="C96" s="69"/>
      <c r="D96" s="69"/>
      <c r="E96" s="69"/>
      <c r="F96" s="69"/>
      <c r="G96" s="69"/>
      <c r="H96" s="69"/>
      <c r="I96" s="69"/>
      <c r="J96" s="69"/>
      <c r="K96" s="69"/>
      <c r="L96" s="69"/>
      <c r="M96" s="69"/>
      <c r="N96" s="69"/>
      <c r="O96" s="69"/>
      <c r="P96" s="72"/>
      <c r="Q96" s="69"/>
      <c r="R96" s="69"/>
      <c r="S96" s="69"/>
      <c r="T96" s="69"/>
    </row>
    <row r="97" spans="1:20" ht="15.6" x14ac:dyDescent="0.3">
      <c r="A97" s="72" t="s">
        <v>156</v>
      </c>
      <c r="B97" s="69"/>
      <c r="C97" s="69"/>
      <c r="D97" s="69"/>
      <c r="E97" s="69"/>
      <c r="F97" s="69"/>
      <c r="G97" s="69"/>
      <c r="H97" s="69"/>
      <c r="I97" s="69"/>
      <c r="J97" s="69"/>
      <c r="K97" s="69"/>
      <c r="L97" s="69"/>
      <c r="M97" s="69"/>
      <c r="N97" s="69"/>
      <c r="O97" s="69"/>
      <c r="P97" s="72"/>
      <c r="Q97" s="69"/>
      <c r="R97" s="69"/>
      <c r="S97" s="69"/>
      <c r="T97" s="69"/>
    </row>
    <row r="98" spans="1:20" ht="15.6" x14ac:dyDescent="0.3">
      <c r="A98" s="72"/>
      <c r="B98" s="69"/>
      <c r="C98" s="69"/>
      <c r="D98" s="69"/>
      <c r="E98" s="69"/>
      <c r="F98" s="69"/>
      <c r="G98" s="69"/>
      <c r="H98" s="69"/>
      <c r="I98" s="69"/>
      <c r="J98" s="69"/>
      <c r="K98" s="69"/>
      <c r="L98" s="69"/>
      <c r="M98" s="69"/>
      <c r="N98" s="69"/>
      <c r="O98" s="69"/>
      <c r="P98" s="69"/>
      <c r="Q98" s="69"/>
      <c r="R98" s="69"/>
      <c r="S98" s="69"/>
      <c r="T98" s="69"/>
    </row>
    <row r="99" spans="1:20" x14ac:dyDescent="0.3">
      <c r="A99" s="69"/>
      <c r="B99" s="69"/>
      <c r="C99" s="69"/>
      <c r="D99" s="69"/>
      <c r="E99" s="69"/>
      <c r="F99" s="69"/>
      <c r="G99" s="69"/>
      <c r="H99" s="69"/>
      <c r="I99" s="69"/>
      <c r="J99" s="69"/>
      <c r="K99" s="69"/>
      <c r="L99" s="69"/>
      <c r="M99" s="69"/>
      <c r="N99" s="69"/>
      <c r="O99" s="69"/>
      <c r="P99" s="69"/>
      <c r="Q99" s="69"/>
      <c r="R99" s="69"/>
      <c r="S99" s="69"/>
      <c r="T99" s="69"/>
    </row>
  </sheetData>
  <mergeCells count="1">
    <mergeCell ref="A1:T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3E2A-AD60-47B2-841C-2799E1300FCF}">
  <dimension ref="A1:AI373"/>
  <sheetViews>
    <sheetView workbookViewId="0">
      <selection activeCell="AE2" sqref="AE2"/>
    </sheetView>
  </sheetViews>
  <sheetFormatPr defaultRowHeight="14.4" x14ac:dyDescent="0.3"/>
  <cols>
    <col min="1" max="1" width="8.5546875" bestFit="1" customWidth="1"/>
    <col min="2" max="2" width="6.88671875" bestFit="1" customWidth="1"/>
    <col min="3" max="3" width="9" bestFit="1" customWidth="1"/>
    <col min="4" max="4" width="16.21875" bestFit="1" customWidth="1"/>
    <col min="5" max="5" width="21" bestFit="1" customWidth="1"/>
    <col min="6" max="6" width="14.77734375" bestFit="1" customWidth="1"/>
    <col min="7" max="7" width="6.21875" bestFit="1" customWidth="1"/>
    <col min="8" max="8" width="18.5546875" bestFit="1" customWidth="1"/>
    <col min="9" max="9" width="13.44140625" bestFit="1" customWidth="1"/>
    <col min="10" max="10" width="7.77734375" bestFit="1" customWidth="1"/>
    <col min="11" max="11" width="12.44140625" bestFit="1" customWidth="1"/>
    <col min="12" max="12" width="20.21875" bestFit="1" customWidth="1"/>
    <col min="13" max="13" width="24.33203125" bestFit="1" customWidth="1"/>
    <col min="14" max="14" width="8.44140625" bestFit="1" customWidth="1"/>
    <col min="15" max="15" width="23.5546875" bestFit="1" customWidth="1"/>
    <col min="16" max="16" width="31.33203125" bestFit="1" customWidth="1"/>
    <col min="17" max="17" width="20.33203125" bestFit="1" customWidth="1"/>
    <col min="18" max="18" width="27.88671875" customWidth="1"/>
    <col min="19" max="19" width="10.21875" customWidth="1"/>
    <col min="20" max="20" width="11.109375" customWidth="1"/>
    <col min="21" max="21" width="22.21875" customWidth="1"/>
    <col min="22" max="22" width="10" customWidth="1"/>
    <col min="23" max="23" width="14.44140625" customWidth="1"/>
    <col min="24" max="24" width="28.88671875" customWidth="1"/>
    <col min="25" max="25" width="8.6640625" customWidth="1"/>
    <col min="26" max="26" width="22.33203125" bestFit="1" customWidth="1"/>
    <col min="27" max="27" width="11.6640625" customWidth="1"/>
    <col min="28" max="28" width="26.6640625" customWidth="1"/>
    <col min="29" max="29" width="29.109375" customWidth="1"/>
    <col min="30" max="30" width="15.109375" bestFit="1" customWidth="1"/>
    <col min="31" max="31" width="14.6640625" bestFit="1" customWidth="1"/>
  </cols>
  <sheetData>
    <row r="1" spans="1:31" x14ac:dyDescent="0.3">
      <c r="A1" s="1" t="s">
        <v>0</v>
      </c>
      <c r="B1" s="1" t="s">
        <v>1</v>
      </c>
      <c r="C1" s="1" t="s">
        <v>2</v>
      </c>
      <c r="D1" s="1" t="s">
        <v>62</v>
      </c>
      <c r="E1" s="1" t="s">
        <v>3</v>
      </c>
      <c r="F1" s="1" t="s">
        <v>4</v>
      </c>
      <c r="G1" s="1" t="s">
        <v>5</v>
      </c>
      <c r="H1" s="1" t="s">
        <v>6</v>
      </c>
      <c r="I1" s="1" t="s">
        <v>7</v>
      </c>
      <c r="J1" s="1" t="s">
        <v>8</v>
      </c>
      <c r="K1" s="1" t="s">
        <v>9</v>
      </c>
      <c r="L1" s="1" t="s">
        <v>10</v>
      </c>
      <c r="M1" s="1" t="s">
        <v>11</v>
      </c>
      <c r="N1" s="1" t="s">
        <v>12</v>
      </c>
      <c r="O1" s="1" t="s">
        <v>47</v>
      </c>
      <c r="P1" s="1" t="s">
        <v>45</v>
      </c>
      <c r="Q1" s="1" t="s">
        <v>13</v>
      </c>
      <c r="R1" s="1" t="s">
        <v>14</v>
      </c>
      <c r="S1" s="1" t="s">
        <v>15</v>
      </c>
      <c r="T1" s="1" t="s">
        <v>16</v>
      </c>
      <c r="U1" s="1" t="s">
        <v>17</v>
      </c>
      <c r="V1" s="1" t="s">
        <v>18</v>
      </c>
      <c r="W1" s="1" t="s">
        <v>19</v>
      </c>
      <c r="X1" s="1" t="s">
        <v>20</v>
      </c>
      <c r="Y1" s="1" t="s">
        <v>21</v>
      </c>
      <c r="Z1" s="1" t="s">
        <v>46</v>
      </c>
      <c r="AA1" s="1" t="s">
        <v>24</v>
      </c>
      <c r="AB1" s="1" t="s">
        <v>23</v>
      </c>
      <c r="AC1" s="1" t="s">
        <v>22</v>
      </c>
      <c r="AD1" s="1" t="s">
        <v>25</v>
      </c>
      <c r="AE1" s="1" t="s">
        <v>26</v>
      </c>
    </row>
    <row r="2" spans="1:31" x14ac:dyDescent="0.3">
      <c r="A2" t="s">
        <v>27</v>
      </c>
      <c r="B2">
        <v>2013</v>
      </c>
      <c r="C2" t="s">
        <v>28</v>
      </c>
      <c r="D2">
        <f>IF(C2="January",1,
IF(C2="february",2,
IF(C2="march",3,
IF(C2="april",4,
IF(C2="may",5,
IF(C2="june",6,
IF(C2="july",7,
IF(C2="august",8,
IF(C2="september",9,
IF(C2="october",10,
IF(C2="november",11,
IF(C2="december",12,
))))))))))))</f>
        <v>1</v>
      </c>
      <c r="E2">
        <v>107.5</v>
      </c>
      <c r="F2">
        <v>106.3</v>
      </c>
      <c r="G2">
        <v>108.1</v>
      </c>
      <c r="H2">
        <v>104.9</v>
      </c>
      <c r="I2">
        <v>106.1</v>
      </c>
      <c r="J2">
        <v>103.9</v>
      </c>
      <c r="K2">
        <v>101.9</v>
      </c>
      <c r="L2">
        <v>106.1</v>
      </c>
      <c r="M2">
        <v>106.8</v>
      </c>
      <c r="N2">
        <v>103.1</v>
      </c>
      <c r="O2">
        <v>104.8</v>
      </c>
      <c r="P2">
        <v>106.7</v>
      </c>
      <c r="Q2">
        <v>105.5</v>
      </c>
      <c r="R2">
        <v>105.1</v>
      </c>
      <c r="S2">
        <v>106.5</v>
      </c>
      <c r="T2">
        <v>105.8</v>
      </c>
      <c r="U2">
        <v>106.4</v>
      </c>
      <c r="V2" s="2">
        <f>'Missing values'!V7</f>
        <v>100.3</v>
      </c>
      <c r="W2">
        <v>105.5</v>
      </c>
      <c r="X2">
        <v>104.8</v>
      </c>
      <c r="Y2">
        <v>104</v>
      </c>
      <c r="Z2">
        <v>104.7</v>
      </c>
      <c r="AA2">
        <v>103.8</v>
      </c>
      <c r="AB2">
        <v>103.4</v>
      </c>
      <c r="AC2">
        <v>103.3</v>
      </c>
      <c r="AD2">
        <v>104</v>
      </c>
      <c r="AE2">
        <v>105.1</v>
      </c>
    </row>
    <row r="3" spans="1:31" x14ac:dyDescent="0.3">
      <c r="A3" t="s">
        <v>30</v>
      </c>
      <c r="B3">
        <v>2013</v>
      </c>
      <c r="C3" t="s">
        <v>28</v>
      </c>
      <c r="D3">
        <f t="shared" ref="D3:D31" si="0">IF(C3="January",1,
IF(C3="february",2,
IF(C3="march",3,
IF(C3="april",4,
IF(C3="may",5,
IF(C3="june",6,
IF(C3="july",7,
IF(C3="august",8,
IF(C3="september",9,
IF(C3="october",10,
IF(C3="november",11,
IF(C3="december",12,
))))))))))))</f>
        <v>1</v>
      </c>
      <c r="E3">
        <v>108.4</v>
      </c>
      <c r="F3">
        <v>107.3</v>
      </c>
      <c r="G3">
        <v>110</v>
      </c>
      <c r="H3">
        <v>104.4</v>
      </c>
      <c r="I3">
        <v>105.1</v>
      </c>
      <c r="J3">
        <v>103.2</v>
      </c>
      <c r="K3">
        <v>102.2</v>
      </c>
      <c r="L3">
        <v>106</v>
      </c>
      <c r="M3">
        <v>106.2</v>
      </c>
      <c r="N3">
        <v>102.7</v>
      </c>
      <c r="O3">
        <v>104.9</v>
      </c>
      <c r="P3">
        <v>107.3</v>
      </c>
      <c r="Q3">
        <v>105.6</v>
      </c>
      <c r="R3">
        <v>105.1</v>
      </c>
      <c r="S3">
        <v>106.3</v>
      </c>
      <c r="T3">
        <v>105.5</v>
      </c>
      <c r="U3">
        <v>106.2</v>
      </c>
      <c r="V3">
        <v>100.3</v>
      </c>
      <c r="W3">
        <v>105.5</v>
      </c>
      <c r="X3">
        <v>104.8</v>
      </c>
      <c r="Y3">
        <v>104</v>
      </c>
      <c r="Z3">
        <v>104.5</v>
      </c>
      <c r="AA3">
        <v>103.6</v>
      </c>
      <c r="AB3">
        <v>103.1</v>
      </c>
      <c r="AC3">
        <v>103.2</v>
      </c>
      <c r="AD3">
        <v>103.9</v>
      </c>
      <c r="AE3">
        <v>104.6</v>
      </c>
    </row>
    <row r="4" spans="1:31" x14ac:dyDescent="0.3">
      <c r="A4" t="s">
        <v>29</v>
      </c>
      <c r="B4">
        <v>2013</v>
      </c>
      <c r="C4" t="s">
        <v>28</v>
      </c>
      <c r="D4">
        <f t="shared" si="0"/>
        <v>1</v>
      </c>
      <c r="E4">
        <v>110.5</v>
      </c>
      <c r="F4">
        <v>109.1</v>
      </c>
      <c r="G4">
        <v>113</v>
      </c>
      <c r="H4">
        <v>103.6</v>
      </c>
      <c r="I4">
        <v>103.4</v>
      </c>
      <c r="J4">
        <v>102.3</v>
      </c>
      <c r="K4">
        <v>102.9</v>
      </c>
      <c r="L4">
        <v>105.8</v>
      </c>
      <c r="M4">
        <v>105.1</v>
      </c>
      <c r="N4">
        <v>101.8</v>
      </c>
      <c r="O4">
        <v>105.1</v>
      </c>
      <c r="P4">
        <v>107.9</v>
      </c>
      <c r="Q4">
        <v>105.9</v>
      </c>
      <c r="R4">
        <v>105.2</v>
      </c>
      <c r="S4">
        <v>105.9</v>
      </c>
      <c r="T4">
        <v>105</v>
      </c>
      <c r="U4">
        <v>105.8</v>
      </c>
      <c r="V4">
        <v>100.3</v>
      </c>
      <c r="W4">
        <v>105.4</v>
      </c>
      <c r="X4">
        <v>104.8</v>
      </c>
      <c r="Y4">
        <v>104.1</v>
      </c>
      <c r="Z4">
        <v>104.3</v>
      </c>
      <c r="AA4">
        <v>103.5</v>
      </c>
      <c r="AB4">
        <v>102.9</v>
      </c>
      <c r="AC4">
        <v>103.2</v>
      </c>
      <c r="AD4">
        <v>103.7</v>
      </c>
      <c r="AE4">
        <v>104</v>
      </c>
    </row>
    <row r="5" spans="1:31" x14ac:dyDescent="0.3">
      <c r="A5" t="s">
        <v>27</v>
      </c>
      <c r="B5">
        <v>2013</v>
      </c>
      <c r="C5" t="s">
        <v>31</v>
      </c>
      <c r="D5">
        <f t="shared" si="0"/>
        <v>2</v>
      </c>
      <c r="E5">
        <v>109.2</v>
      </c>
      <c r="F5">
        <v>108.7</v>
      </c>
      <c r="G5">
        <v>110.2</v>
      </c>
      <c r="H5">
        <v>105.4</v>
      </c>
      <c r="I5">
        <v>106.7</v>
      </c>
      <c r="J5">
        <v>104</v>
      </c>
      <c r="K5">
        <v>102.4</v>
      </c>
      <c r="L5">
        <v>105.9</v>
      </c>
      <c r="M5">
        <v>105.7</v>
      </c>
      <c r="N5">
        <v>103.1</v>
      </c>
      <c r="O5">
        <v>105.1</v>
      </c>
      <c r="P5">
        <v>107.7</v>
      </c>
      <c r="Q5">
        <v>106.3</v>
      </c>
      <c r="R5">
        <v>105.6</v>
      </c>
      <c r="S5">
        <v>107.1</v>
      </c>
      <c r="T5">
        <v>106.3</v>
      </c>
      <c r="U5">
        <v>107</v>
      </c>
      <c r="V5" s="2">
        <f>'Missing values'!V40</f>
        <v>100.4</v>
      </c>
      <c r="W5">
        <v>106.2</v>
      </c>
      <c r="X5">
        <v>105.2</v>
      </c>
      <c r="Y5">
        <v>104.4</v>
      </c>
      <c r="Z5">
        <v>104.6</v>
      </c>
      <c r="AA5">
        <v>104.1</v>
      </c>
      <c r="AB5">
        <v>104</v>
      </c>
      <c r="AC5">
        <v>103.9</v>
      </c>
      <c r="AD5">
        <v>104.4</v>
      </c>
      <c r="AE5">
        <v>105.8</v>
      </c>
    </row>
    <row r="6" spans="1:31" x14ac:dyDescent="0.3">
      <c r="A6" t="s">
        <v>30</v>
      </c>
      <c r="B6">
        <v>2013</v>
      </c>
      <c r="C6" t="s">
        <v>31</v>
      </c>
      <c r="D6">
        <f t="shared" si="0"/>
        <v>2</v>
      </c>
      <c r="E6">
        <v>110.4</v>
      </c>
      <c r="F6">
        <v>110.2</v>
      </c>
      <c r="G6">
        <v>112.8</v>
      </c>
      <c r="H6">
        <v>104.9</v>
      </c>
      <c r="I6">
        <v>105.5</v>
      </c>
      <c r="J6">
        <v>103.6</v>
      </c>
      <c r="K6">
        <v>103.2</v>
      </c>
      <c r="L6">
        <v>105.3</v>
      </c>
      <c r="M6">
        <v>105.1</v>
      </c>
      <c r="N6">
        <v>102.8</v>
      </c>
      <c r="O6">
        <v>105.5</v>
      </c>
      <c r="P6">
        <v>108.3</v>
      </c>
      <c r="Q6">
        <v>106.6</v>
      </c>
      <c r="R6">
        <v>105.7</v>
      </c>
      <c r="S6">
        <v>106.9</v>
      </c>
      <c r="T6">
        <v>106</v>
      </c>
      <c r="U6">
        <v>106.8</v>
      </c>
      <c r="V6">
        <v>100.4</v>
      </c>
      <c r="W6">
        <v>106</v>
      </c>
      <c r="X6">
        <v>105.2</v>
      </c>
      <c r="Y6">
        <v>104.5</v>
      </c>
      <c r="Z6">
        <v>104.5</v>
      </c>
      <c r="AA6">
        <v>103.9</v>
      </c>
      <c r="AB6">
        <v>103.6</v>
      </c>
      <c r="AC6">
        <v>104.2</v>
      </c>
      <c r="AD6">
        <v>104.4</v>
      </c>
      <c r="AE6">
        <v>105.3</v>
      </c>
    </row>
    <row r="7" spans="1:31" x14ac:dyDescent="0.3">
      <c r="A7" t="s">
        <v>29</v>
      </c>
      <c r="B7">
        <v>2013</v>
      </c>
      <c r="C7" t="s">
        <v>31</v>
      </c>
      <c r="D7">
        <f t="shared" si="0"/>
        <v>2</v>
      </c>
      <c r="E7">
        <v>112.9</v>
      </c>
      <c r="F7">
        <v>112.9</v>
      </c>
      <c r="G7">
        <v>116.9</v>
      </c>
      <c r="H7">
        <v>104</v>
      </c>
      <c r="I7">
        <v>103.5</v>
      </c>
      <c r="J7">
        <v>103.1</v>
      </c>
      <c r="K7">
        <v>104.9</v>
      </c>
      <c r="L7">
        <v>104.1</v>
      </c>
      <c r="M7">
        <v>103.8</v>
      </c>
      <c r="N7">
        <v>102.3</v>
      </c>
      <c r="O7">
        <v>106</v>
      </c>
      <c r="P7">
        <v>109</v>
      </c>
      <c r="Q7">
        <v>107.2</v>
      </c>
      <c r="R7">
        <v>106</v>
      </c>
      <c r="S7">
        <v>106.6</v>
      </c>
      <c r="T7">
        <v>105.5</v>
      </c>
      <c r="U7">
        <v>106.4</v>
      </c>
      <c r="V7">
        <v>100.4</v>
      </c>
      <c r="W7">
        <v>105.7</v>
      </c>
      <c r="X7">
        <v>105.2</v>
      </c>
      <c r="Y7">
        <v>104.7</v>
      </c>
      <c r="Z7">
        <v>104.3</v>
      </c>
      <c r="AA7">
        <v>103.7</v>
      </c>
      <c r="AB7">
        <v>103.3</v>
      </c>
      <c r="AC7">
        <v>104.4</v>
      </c>
      <c r="AD7">
        <v>104.3</v>
      </c>
      <c r="AE7">
        <v>104.7</v>
      </c>
    </row>
    <row r="8" spans="1:31" x14ac:dyDescent="0.3">
      <c r="A8" t="s">
        <v>27</v>
      </c>
      <c r="B8">
        <v>2013</v>
      </c>
      <c r="C8" t="s">
        <v>32</v>
      </c>
      <c r="D8">
        <f t="shared" si="0"/>
        <v>3</v>
      </c>
      <c r="E8">
        <v>110.2</v>
      </c>
      <c r="F8">
        <v>108.8</v>
      </c>
      <c r="G8">
        <v>109.9</v>
      </c>
      <c r="H8">
        <v>105.6</v>
      </c>
      <c r="I8">
        <v>106.2</v>
      </c>
      <c r="J8">
        <v>105.7</v>
      </c>
      <c r="K8">
        <v>101.4</v>
      </c>
      <c r="L8">
        <v>105.7</v>
      </c>
      <c r="M8">
        <v>105</v>
      </c>
      <c r="N8">
        <v>103.3</v>
      </c>
      <c r="O8">
        <v>105.6</v>
      </c>
      <c r="P8">
        <v>108.2</v>
      </c>
      <c r="Q8">
        <v>106.6</v>
      </c>
      <c r="R8">
        <v>106.5</v>
      </c>
      <c r="S8">
        <v>107.6</v>
      </c>
      <c r="T8">
        <v>106.8</v>
      </c>
      <c r="U8">
        <v>107.5</v>
      </c>
      <c r="V8" s="2">
        <f>'Missing values'!V73</f>
        <v>100.4</v>
      </c>
      <c r="W8">
        <v>106.1</v>
      </c>
      <c r="X8">
        <v>105.6</v>
      </c>
      <c r="Y8">
        <v>104.7</v>
      </c>
      <c r="Z8">
        <v>104.3</v>
      </c>
      <c r="AA8">
        <v>104.3</v>
      </c>
      <c r="AB8">
        <v>104</v>
      </c>
      <c r="AC8">
        <v>104.6</v>
      </c>
      <c r="AD8">
        <v>104.6</v>
      </c>
      <c r="AE8">
        <v>106</v>
      </c>
    </row>
    <row r="9" spans="1:31" x14ac:dyDescent="0.3">
      <c r="A9" t="s">
        <v>30</v>
      </c>
      <c r="B9">
        <v>2013</v>
      </c>
      <c r="C9" t="s">
        <v>32</v>
      </c>
      <c r="D9">
        <f t="shared" si="0"/>
        <v>3</v>
      </c>
      <c r="E9">
        <v>111.4</v>
      </c>
      <c r="F9">
        <v>109.7</v>
      </c>
      <c r="G9">
        <v>111.2</v>
      </c>
      <c r="H9">
        <v>105.1</v>
      </c>
      <c r="I9">
        <v>104.9</v>
      </c>
      <c r="J9">
        <v>105.3</v>
      </c>
      <c r="K9">
        <v>102.2</v>
      </c>
      <c r="L9">
        <v>105</v>
      </c>
      <c r="M9">
        <v>104.2</v>
      </c>
      <c r="N9">
        <v>103</v>
      </c>
      <c r="O9">
        <v>106.2</v>
      </c>
      <c r="P9">
        <v>108.9</v>
      </c>
      <c r="Q9">
        <v>106.9</v>
      </c>
      <c r="R9">
        <v>106.6</v>
      </c>
      <c r="S9">
        <v>107.4</v>
      </c>
      <c r="T9">
        <v>106.5</v>
      </c>
      <c r="U9">
        <v>107.3</v>
      </c>
      <c r="V9">
        <v>100.4</v>
      </c>
      <c r="W9">
        <v>106.1</v>
      </c>
      <c r="X9">
        <v>105.6</v>
      </c>
      <c r="Y9">
        <v>104.9</v>
      </c>
      <c r="Z9">
        <v>104.3</v>
      </c>
      <c r="AA9">
        <v>104</v>
      </c>
      <c r="AB9">
        <v>103.7</v>
      </c>
      <c r="AC9">
        <v>105.1</v>
      </c>
      <c r="AD9">
        <v>104.7</v>
      </c>
      <c r="AE9">
        <v>105.5</v>
      </c>
    </row>
    <row r="10" spans="1:31" x14ac:dyDescent="0.3">
      <c r="A10" t="s">
        <v>29</v>
      </c>
      <c r="B10">
        <v>2013</v>
      </c>
      <c r="C10" t="s">
        <v>32</v>
      </c>
      <c r="D10">
        <f t="shared" si="0"/>
        <v>3</v>
      </c>
      <c r="E10">
        <v>113.9</v>
      </c>
      <c r="F10">
        <v>111.4</v>
      </c>
      <c r="G10">
        <v>113.2</v>
      </c>
      <c r="H10">
        <v>104.3</v>
      </c>
      <c r="I10">
        <v>102.7</v>
      </c>
      <c r="J10">
        <v>104.9</v>
      </c>
      <c r="K10">
        <v>103.8</v>
      </c>
      <c r="L10">
        <v>103.5</v>
      </c>
      <c r="M10">
        <v>102.6</v>
      </c>
      <c r="N10">
        <v>102.4</v>
      </c>
      <c r="O10">
        <v>107</v>
      </c>
      <c r="P10">
        <v>109.8</v>
      </c>
      <c r="Q10">
        <v>107.3</v>
      </c>
      <c r="R10">
        <v>106.8</v>
      </c>
      <c r="S10">
        <v>107.2</v>
      </c>
      <c r="T10">
        <v>106</v>
      </c>
      <c r="U10">
        <v>107</v>
      </c>
      <c r="V10">
        <v>100.4</v>
      </c>
      <c r="W10">
        <v>106</v>
      </c>
      <c r="X10">
        <v>105.7</v>
      </c>
      <c r="Y10">
        <v>105.2</v>
      </c>
      <c r="Z10">
        <v>104.2</v>
      </c>
      <c r="AA10">
        <v>103.8</v>
      </c>
      <c r="AB10">
        <v>103.5</v>
      </c>
      <c r="AC10">
        <v>105.5</v>
      </c>
      <c r="AD10">
        <v>104.9</v>
      </c>
      <c r="AE10">
        <v>105</v>
      </c>
    </row>
    <row r="11" spans="1:31" x14ac:dyDescent="0.3">
      <c r="A11" t="s">
        <v>27</v>
      </c>
      <c r="B11">
        <v>2013</v>
      </c>
      <c r="C11" t="s">
        <v>33</v>
      </c>
      <c r="D11">
        <f t="shared" si="0"/>
        <v>4</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s="2">
        <f>'Missing values'!V106</f>
        <v>100.5</v>
      </c>
      <c r="W11">
        <v>106.5</v>
      </c>
      <c r="X11">
        <v>106.1</v>
      </c>
      <c r="Y11">
        <v>105.1</v>
      </c>
      <c r="Z11">
        <v>102.7</v>
      </c>
      <c r="AA11">
        <v>104.8</v>
      </c>
      <c r="AB11">
        <v>104.5</v>
      </c>
      <c r="AC11">
        <v>104.4</v>
      </c>
      <c r="AD11">
        <v>104.6</v>
      </c>
      <c r="AE11">
        <v>106.4</v>
      </c>
    </row>
    <row r="12" spans="1:31" x14ac:dyDescent="0.3">
      <c r="A12" t="s">
        <v>30</v>
      </c>
      <c r="B12">
        <v>2013</v>
      </c>
      <c r="C12" t="s">
        <v>33</v>
      </c>
      <c r="D12">
        <f t="shared" si="0"/>
        <v>4</v>
      </c>
      <c r="E12">
        <v>111.6</v>
      </c>
      <c r="F12">
        <v>110.9</v>
      </c>
      <c r="G12">
        <v>106.6</v>
      </c>
      <c r="H12">
        <v>105.7</v>
      </c>
      <c r="I12">
        <v>104.4</v>
      </c>
      <c r="J12">
        <v>108.9</v>
      </c>
      <c r="K12">
        <v>105.5</v>
      </c>
      <c r="L12">
        <v>105.3</v>
      </c>
      <c r="M12">
        <v>103.5</v>
      </c>
      <c r="N12">
        <v>103.3</v>
      </c>
      <c r="O12">
        <v>107.2</v>
      </c>
      <c r="P12">
        <v>109.6</v>
      </c>
      <c r="Q12">
        <v>107.7</v>
      </c>
      <c r="R12">
        <v>107.5</v>
      </c>
      <c r="S12">
        <v>108</v>
      </c>
      <c r="T12">
        <v>107</v>
      </c>
      <c r="U12">
        <v>107.9</v>
      </c>
      <c r="V12">
        <v>100.5</v>
      </c>
      <c r="W12">
        <v>106.5</v>
      </c>
      <c r="X12">
        <v>106.3</v>
      </c>
      <c r="Y12">
        <v>105.3</v>
      </c>
      <c r="Z12">
        <v>102.9</v>
      </c>
      <c r="AA12">
        <v>105</v>
      </c>
      <c r="AB12">
        <v>104.2</v>
      </c>
      <c r="AC12">
        <v>104.7</v>
      </c>
      <c r="AD12">
        <v>104.8</v>
      </c>
      <c r="AE12">
        <v>106.1</v>
      </c>
    </row>
    <row r="13" spans="1:31" x14ac:dyDescent="0.3">
      <c r="A13" t="s">
        <v>29</v>
      </c>
      <c r="B13">
        <v>2013</v>
      </c>
      <c r="C13" t="s">
        <v>33</v>
      </c>
      <c r="D13">
        <f t="shared" si="0"/>
        <v>4</v>
      </c>
      <c r="E13">
        <v>114.6</v>
      </c>
      <c r="F13">
        <v>113.4</v>
      </c>
      <c r="G13">
        <v>106</v>
      </c>
      <c r="H13">
        <v>104.7</v>
      </c>
      <c r="I13">
        <v>102.1</v>
      </c>
      <c r="J13">
        <v>109.5</v>
      </c>
      <c r="K13">
        <v>109.7</v>
      </c>
      <c r="L13">
        <v>104.6</v>
      </c>
      <c r="M13">
        <v>102</v>
      </c>
      <c r="N13">
        <v>103.5</v>
      </c>
      <c r="O13">
        <v>108.2</v>
      </c>
      <c r="P13">
        <v>110.6</v>
      </c>
      <c r="Q13">
        <v>108.8</v>
      </c>
      <c r="R13">
        <v>108.5</v>
      </c>
      <c r="S13">
        <v>107.9</v>
      </c>
      <c r="T13">
        <v>106.4</v>
      </c>
      <c r="U13">
        <v>107.7</v>
      </c>
      <c r="V13">
        <v>100.5</v>
      </c>
      <c r="W13">
        <v>106.4</v>
      </c>
      <c r="X13">
        <v>106.5</v>
      </c>
      <c r="Y13">
        <v>105.7</v>
      </c>
      <c r="Z13">
        <v>103.2</v>
      </c>
      <c r="AA13">
        <v>105.2</v>
      </c>
      <c r="AB13">
        <v>104</v>
      </c>
      <c r="AC13">
        <v>105</v>
      </c>
      <c r="AD13">
        <v>105.1</v>
      </c>
      <c r="AE13">
        <v>105.7</v>
      </c>
    </row>
    <row r="14" spans="1:31" x14ac:dyDescent="0.3">
      <c r="A14" t="s">
        <v>27</v>
      </c>
      <c r="B14">
        <v>2013</v>
      </c>
      <c r="C14" t="s">
        <v>34</v>
      </c>
      <c r="D14">
        <f t="shared" si="0"/>
        <v>5</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s="2">
        <f>'Missing values'!V136</f>
        <v>100.5</v>
      </c>
      <c r="W14">
        <v>107.5</v>
      </c>
      <c r="X14">
        <v>106.8</v>
      </c>
      <c r="Y14">
        <v>105.7</v>
      </c>
      <c r="Z14">
        <v>102.1</v>
      </c>
      <c r="AA14">
        <v>105.5</v>
      </c>
      <c r="AB14">
        <v>105</v>
      </c>
      <c r="AC14">
        <v>104.1</v>
      </c>
      <c r="AD14">
        <v>104.8</v>
      </c>
      <c r="AE14">
        <v>107.2</v>
      </c>
    </row>
    <row r="15" spans="1:31" x14ac:dyDescent="0.3">
      <c r="A15" t="s">
        <v>30</v>
      </c>
      <c r="B15">
        <v>2013</v>
      </c>
      <c r="C15" t="s">
        <v>34</v>
      </c>
      <c r="D15">
        <f t="shared" si="0"/>
        <v>5</v>
      </c>
      <c r="E15">
        <v>112.3</v>
      </c>
      <c r="F15">
        <v>111.3</v>
      </c>
      <c r="G15">
        <v>104.7</v>
      </c>
      <c r="H15">
        <v>106.8</v>
      </c>
      <c r="I15">
        <v>103.9</v>
      </c>
      <c r="J15">
        <v>109.3</v>
      </c>
      <c r="K15">
        <v>112.9</v>
      </c>
      <c r="L15">
        <v>105.8</v>
      </c>
      <c r="M15">
        <v>103.1</v>
      </c>
      <c r="N15">
        <v>104.3</v>
      </c>
      <c r="O15">
        <v>108.1</v>
      </c>
      <c r="P15">
        <v>110.5</v>
      </c>
      <c r="Q15">
        <v>109.2</v>
      </c>
      <c r="R15">
        <v>108.6</v>
      </c>
      <c r="S15">
        <v>108.7</v>
      </c>
      <c r="T15">
        <v>107.4</v>
      </c>
      <c r="U15">
        <v>108.5</v>
      </c>
      <c r="V15">
        <v>100.5</v>
      </c>
      <c r="W15">
        <v>107.4</v>
      </c>
      <c r="X15">
        <v>106.9</v>
      </c>
      <c r="Y15">
        <v>105.9</v>
      </c>
      <c r="Z15">
        <v>102.3</v>
      </c>
      <c r="AA15">
        <v>105.6</v>
      </c>
      <c r="AB15">
        <v>104.8</v>
      </c>
      <c r="AC15">
        <v>104</v>
      </c>
      <c r="AD15">
        <v>104.8</v>
      </c>
      <c r="AE15">
        <v>106.9</v>
      </c>
    </row>
    <row r="16" spans="1:31" x14ac:dyDescent="0.3">
      <c r="A16" t="s">
        <v>29</v>
      </c>
      <c r="B16">
        <v>2013</v>
      </c>
      <c r="C16" t="s">
        <v>34</v>
      </c>
      <c r="D16">
        <f t="shared" si="0"/>
        <v>5</v>
      </c>
      <c r="E16">
        <v>115.4</v>
      </c>
      <c r="F16">
        <v>114.2</v>
      </c>
      <c r="G16">
        <v>102.7</v>
      </c>
      <c r="H16">
        <v>105.5</v>
      </c>
      <c r="I16">
        <v>101.5</v>
      </c>
      <c r="J16">
        <v>110.6</v>
      </c>
      <c r="K16">
        <v>123.7</v>
      </c>
      <c r="L16">
        <v>105.2</v>
      </c>
      <c r="M16">
        <v>101.9</v>
      </c>
      <c r="N16">
        <v>105</v>
      </c>
      <c r="O16">
        <v>109.1</v>
      </c>
      <c r="P16">
        <v>111.3</v>
      </c>
      <c r="Q16">
        <v>111.1</v>
      </c>
      <c r="R16">
        <v>109.8</v>
      </c>
      <c r="S16">
        <v>108.5</v>
      </c>
      <c r="T16">
        <v>106.7</v>
      </c>
      <c r="U16">
        <v>108.3</v>
      </c>
      <c r="V16">
        <v>100.5</v>
      </c>
      <c r="W16">
        <v>107.2</v>
      </c>
      <c r="X16">
        <v>107.1</v>
      </c>
      <c r="Y16">
        <v>106.2</v>
      </c>
      <c r="Z16">
        <v>102.6</v>
      </c>
      <c r="AA16">
        <v>105.7</v>
      </c>
      <c r="AB16">
        <v>104.6</v>
      </c>
      <c r="AC16">
        <v>103.9</v>
      </c>
      <c r="AD16">
        <v>104.9</v>
      </c>
      <c r="AE16">
        <v>106.6</v>
      </c>
    </row>
    <row r="17" spans="1:31" x14ac:dyDescent="0.3">
      <c r="A17" t="s">
        <v>27</v>
      </c>
      <c r="B17">
        <v>2013</v>
      </c>
      <c r="C17" t="s">
        <v>35</v>
      </c>
      <c r="D17">
        <f t="shared" si="0"/>
        <v>6</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s="2">
        <f>'Missing values'!V169</f>
        <v>106.6</v>
      </c>
      <c r="W17">
        <v>108.5</v>
      </c>
      <c r="X17">
        <v>107.5</v>
      </c>
      <c r="Y17">
        <v>106.3</v>
      </c>
      <c r="Z17">
        <v>102.5</v>
      </c>
      <c r="AA17">
        <v>106.5</v>
      </c>
      <c r="AB17">
        <v>105.6</v>
      </c>
      <c r="AC17">
        <v>105</v>
      </c>
      <c r="AD17">
        <v>105.5</v>
      </c>
      <c r="AE17">
        <v>108.9</v>
      </c>
    </row>
    <row r="18" spans="1:31" x14ac:dyDescent="0.3">
      <c r="A18" t="s">
        <v>30</v>
      </c>
      <c r="B18">
        <v>2013</v>
      </c>
      <c r="C18" t="s">
        <v>35</v>
      </c>
      <c r="D18">
        <f t="shared" si="0"/>
        <v>6</v>
      </c>
      <c r="E18">
        <v>113.8</v>
      </c>
      <c r="F18">
        <v>114.9</v>
      </c>
      <c r="G18">
        <v>109.8</v>
      </c>
      <c r="H18">
        <v>107.9</v>
      </c>
      <c r="I18">
        <v>104.2</v>
      </c>
      <c r="J18">
        <v>110.7</v>
      </c>
      <c r="K18">
        <v>126.7</v>
      </c>
      <c r="L18">
        <v>106.3</v>
      </c>
      <c r="M18">
        <v>103.2</v>
      </c>
      <c r="N18">
        <v>105.7</v>
      </c>
      <c r="O18">
        <v>109</v>
      </c>
      <c r="P18">
        <v>111.6</v>
      </c>
      <c r="Q18">
        <v>112.2</v>
      </c>
      <c r="R18">
        <v>109.5</v>
      </c>
      <c r="S18">
        <v>109.5</v>
      </c>
      <c r="T18">
        <v>108.1</v>
      </c>
      <c r="U18">
        <v>109.3</v>
      </c>
      <c r="V18">
        <v>106.6</v>
      </c>
      <c r="W18">
        <v>108.3</v>
      </c>
      <c r="X18">
        <v>107.6</v>
      </c>
      <c r="Y18">
        <v>106.4</v>
      </c>
      <c r="Z18">
        <v>102.8</v>
      </c>
      <c r="AA18">
        <v>107.4</v>
      </c>
      <c r="AB18">
        <v>105.4</v>
      </c>
      <c r="AC18">
        <v>105.1</v>
      </c>
      <c r="AD18">
        <v>105.8</v>
      </c>
      <c r="AE18">
        <v>109.3</v>
      </c>
    </row>
    <row r="19" spans="1:31" x14ac:dyDescent="0.3">
      <c r="A19" t="s">
        <v>29</v>
      </c>
      <c r="B19">
        <v>2013</v>
      </c>
      <c r="C19" t="s">
        <v>35</v>
      </c>
      <c r="D19">
        <f t="shared" si="0"/>
        <v>6</v>
      </c>
      <c r="E19">
        <v>117</v>
      </c>
      <c r="F19">
        <v>120.1</v>
      </c>
      <c r="G19">
        <v>112.5</v>
      </c>
      <c r="H19">
        <v>107.3</v>
      </c>
      <c r="I19">
        <v>101.3</v>
      </c>
      <c r="J19">
        <v>112.4</v>
      </c>
      <c r="K19">
        <v>143.6</v>
      </c>
      <c r="L19">
        <v>105.4</v>
      </c>
      <c r="M19">
        <v>101.4</v>
      </c>
      <c r="N19">
        <v>106.4</v>
      </c>
      <c r="O19">
        <v>110</v>
      </c>
      <c r="P19">
        <v>112.2</v>
      </c>
      <c r="Q19">
        <v>115</v>
      </c>
      <c r="R19">
        <v>110.9</v>
      </c>
      <c r="S19">
        <v>109.2</v>
      </c>
      <c r="T19">
        <v>107.2</v>
      </c>
      <c r="U19">
        <v>108.9</v>
      </c>
      <c r="V19">
        <v>106.6</v>
      </c>
      <c r="W19">
        <v>108</v>
      </c>
      <c r="X19">
        <v>107.7</v>
      </c>
      <c r="Y19">
        <v>106.5</v>
      </c>
      <c r="Z19">
        <v>103.3</v>
      </c>
      <c r="AA19">
        <v>108.1</v>
      </c>
      <c r="AB19">
        <v>105.2</v>
      </c>
      <c r="AC19">
        <v>105.2</v>
      </c>
      <c r="AD19">
        <v>106.1</v>
      </c>
      <c r="AE19">
        <v>109.7</v>
      </c>
    </row>
    <row r="20" spans="1:31" x14ac:dyDescent="0.3">
      <c r="A20" t="s">
        <v>27</v>
      </c>
      <c r="B20">
        <v>2013</v>
      </c>
      <c r="C20" t="s">
        <v>36</v>
      </c>
      <c r="D20">
        <f t="shared" si="0"/>
        <v>7</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s="2">
        <f>'Missing values'!V199</f>
        <v>107.7</v>
      </c>
      <c r="W20">
        <v>109.5</v>
      </c>
      <c r="X20">
        <v>108.3</v>
      </c>
      <c r="Y20">
        <v>106.9</v>
      </c>
      <c r="Z20">
        <v>102.5</v>
      </c>
      <c r="AA20">
        <v>107.8</v>
      </c>
      <c r="AB20">
        <v>106.4</v>
      </c>
      <c r="AC20">
        <v>106.8</v>
      </c>
      <c r="AD20">
        <v>106.5</v>
      </c>
      <c r="AE20">
        <v>110.7</v>
      </c>
    </row>
    <row r="21" spans="1:31" x14ac:dyDescent="0.3">
      <c r="A21" t="s">
        <v>30</v>
      </c>
      <c r="B21">
        <v>2013</v>
      </c>
      <c r="C21" t="s">
        <v>36</v>
      </c>
      <c r="D21">
        <f t="shared" si="0"/>
        <v>7</v>
      </c>
      <c r="E21">
        <v>114.8</v>
      </c>
      <c r="F21">
        <v>116.4</v>
      </c>
      <c r="G21">
        <v>111.9</v>
      </c>
      <c r="H21">
        <v>108.9</v>
      </c>
      <c r="I21">
        <v>104.3</v>
      </c>
      <c r="J21">
        <v>111.7</v>
      </c>
      <c r="K21">
        <v>140</v>
      </c>
      <c r="L21">
        <v>106.4</v>
      </c>
      <c r="M21">
        <v>103.3</v>
      </c>
      <c r="N21">
        <v>106.8</v>
      </c>
      <c r="O21">
        <v>109.6</v>
      </c>
      <c r="P21">
        <v>112.6</v>
      </c>
      <c r="Q21">
        <v>114.7</v>
      </c>
      <c r="R21">
        <v>110.3</v>
      </c>
      <c r="S21">
        <v>110.2</v>
      </c>
      <c r="T21">
        <v>108.8</v>
      </c>
      <c r="U21">
        <v>110</v>
      </c>
      <c r="V21">
        <v>107.7</v>
      </c>
      <c r="W21">
        <v>109.2</v>
      </c>
      <c r="X21">
        <v>108.2</v>
      </c>
      <c r="Y21">
        <v>107</v>
      </c>
      <c r="Z21">
        <v>102.8</v>
      </c>
      <c r="AA21">
        <v>109.1</v>
      </c>
      <c r="AB21">
        <v>106.1</v>
      </c>
      <c r="AC21">
        <v>107.1</v>
      </c>
      <c r="AD21">
        <v>106.9</v>
      </c>
      <c r="AE21">
        <v>111</v>
      </c>
    </row>
    <row r="22" spans="1:31" x14ac:dyDescent="0.3">
      <c r="A22" t="s">
        <v>29</v>
      </c>
      <c r="B22">
        <v>2013</v>
      </c>
      <c r="C22" t="s">
        <v>36</v>
      </c>
      <c r="D22">
        <f t="shared" si="0"/>
        <v>7</v>
      </c>
      <c r="E22">
        <v>117.8</v>
      </c>
      <c r="F22">
        <v>119.2</v>
      </c>
      <c r="G22">
        <v>114</v>
      </c>
      <c r="H22">
        <v>108.3</v>
      </c>
      <c r="I22">
        <v>101.1</v>
      </c>
      <c r="J22">
        <v>113.2</v>
      </c>
      <c r="K22">
        <v>160.9</v>
      </c>
      <c r="L22">
        <v>105.1</v>
      </c>
      <c r="M22">
        <v>101.3</v>
      </c>
      <c r="N22">
        <v>107.5</v>
      </c>
      <c r="O22">
        <v>110.4</v>
      </c>
      <c r="P22">
        <v>113.1</v>
      </c>
      <c r="Q22">
        <v>117.5</v>
      </c>
      <c r="R22">
        <v>111.7</v>
      </c>
      <c r="S22">
        <v>109.8</v>
      </c>
      <c r="T22">
        <v>107.8</v>
      </c>
      <c r="U22">
        <v>109.5</v>
      </c>
      <c r="V22">
        <v>107.7</v>
      </c>
      <c r="W22">
        <v>108.6</v>
      </c>
      <c r="X22">
        <v>108.1</v>
      </c>
      <c r="Y22">
        <v>107.1</v>
      </c>
      <c r="Z22">
        <v>103.2</v>
      </c>
      <c r="AA22">
        <v>110.1</v>
      </c>
      <c r="AB22">
        <v>105.9</v>
      </c>
      <c r="AC22">
        <v>107.3</v>
      </c>
      <c r="AD22">
        <v>107.3</v>
      </c>
      <c r="AE22">
        <v>111.4</v>
      </c>
    </row>
    <row r="23" spans="1:31" x14ac:dyDescent="0.3">
      <c r="A23" t="s">
        <v>27</v>
      </c>
      <c r="B23">
        <v>2013</v>
      </c>
      <c r="C23" t="s">
        <v>37</v>
      </c>
      <c r="D23">
        <f t="shared" si="0"/>
        <v>8</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s="2">
        <f>'Missing values'!V229</f>
        <v>108.9</v>
      </c>
      <c r="W23">
        <v>109.9</v>
      </c>
      <c r="X23">
        <v>108.7</v>
      </c>
      <c r="Y23">
        <v>107.5</v>
      </c>
      <c r="Z23">
        <v>105</v>
      </c>
      <c r="AA23">
        <v>108.7</v>
      </c>
      <c r="AB23">
        <v>106.8</v>
      </c>
      <c r="AC23">
        <v>107.8</v>
      </c>
      <c r="AD23">
        <v>107.5</v>
      </c>
      <c r="AE23">
        <v>112.1</v>
      </c>
    </row>
    <row r="24" spans="1:31" x14ac:dyDescent="0.3">
      <c r="A24" t="s">
        <v>30</v>
      </c>
      <c r="B24">
        <v>2013</v>
      </c>
      <c r="C24" t="s">
        <v>37</v>
      </c>
      <c r="D24">
        <f t="shared" si="0"/>
        <v>8</v>
      </c>
      <c r="E24">
        <v>115.6</v>
      </c>
      <c r="F24">
        <v>117.2</v>
      </c>
      <c r="G24">
        <v>111.7</v>
      </c>
      <c r="H24">
        <v>109.6</v>
      </c>
      <c r="I24">
        <v>104.5</v>
      </c>
      <c r="J24">
        <v>109.8</v>
      </c>
      <c r="K24">
        <v>151.80000000000001</v>
      </c>
      <c r="L24">
        <v>106.5</v>
      </c>
      <c r="M24">
        <v>103.1</v>
      </c>
      <c r="N24">
        <v>107.4</v>
      </c>
      <c r="O24">
        <v>110.2</v>
      </c>
      <c r="P24">
        <v>113.4</v>
      </c>
      <c r="Q24">
        <v>116.6</v>
      </c>
      <c r="R24">
        <v>111.2</v>
      </c>
      <c r="S24">
        <v>111</v>
      </c>
      <c r="T24">
        <v>109.4</v>
      </c>
      <c r="U24">
        <v>110.7</v>
      </c>
      <c r="V24">
        <v>108.9</v>
      </c>
      <c r="W24">
        <v>109.7</v>
      </c>
      <c r="X24">
        <v>108.7</v>
      </c>
      <c r="Y24">
        <v>107.5</v>
      </c>
      <c r="Z24">
        <v>105.4</v>
      </c>
      <c r="AA24">
        <v>109.9</v>
      </c>
      <c r="AB24">
        <v>106.6</v>
      </c>
      <c r="AC24">
        <v>108</v>
      </c>
      <c r="AD24">
        <v>107.9</v>
      </c>
      <c r="AE24">
        <v>112.4</v>
      </c>
    </row>
    <row r="25" spans="1:31" x14ac:dyDescent="0.3">
      <c r="A25" t="s">
        <v>29</v>
      </c>
      <c r="B25">
        <v>2013</v>
      </c>
      <c r="C25" t="s">
        <v>37</v>
      </c>
      <c r="D25">
        <f>IF(C25="January",1,
IF(C25="february",2,
IF(C25="march",3,
IF(C25="april",4,
IF(C25="may",5,
IF(C25="june",6,
IF(C25="july",7,
IF(C25="august",8,
IF(C25="september",9,
IF(C25="october",10,
IF(C25="november",11,
IF(C25="december",12,
))))))))))))</f>
        <v>8</v>
      </c>
      <c r="E25">
        <v>118.3</v>
      </c>
      <c r="F25">
        <v>120.4</v>
      </c>
      <c r="G25">
        <v>112.7</v>
      </c>
      <c r="H25">
        <v>108.9</v>
      </c>
      <c r="I25">
        <v>101.1</v>
      </c>
      <c r="J25">
        <v>108.7</v>
      </c>
      <c r="K25">
        <v>177</v>
      </c>
      <c r="L25">
        <v>104.7</v>
      </c>
      <c r="M25">
        <v>101</v>
      </c>
      <c r="N25">
        <v>108.5</v>
      </c>
      <c r="O25">
        <v>110.9</v>
      </c>
      <c r="P25">
        <v>114.3</v>
      </c>
      <c r="Q25">
        <v>119.6</v>
      </c>
      <c r="R25">
        <v>112.4</v>
      </c>
      <c r="S25">
        <v>110.6</v>
      </c>
      <c r="T25">
        <v>108.3</v>
      </c>
      <c r="U25">
        <v>110.2</v>
      </c>
      <c r="V25">
        <v>108.9</v>
      </c>
      <c r="W25">
        <v>109.3</v>
      </c>
      <c r="X25">
        <v>108.7</v>
      </c>
      <c r="Y25">
        <v>107.6</v>
      </c>
      <c r="Z25">
        <v>106</v>
      </c>
      <c r="AA25">
        <v>110.8</v>
      </c>
      <c r="AB25">
        <v>106.5</v>
      </c>
      <c r="AC25">
        <v>108.1</v>
      </c>
      <c r="AD25">
        <v>108.3</v>
      </c>
      <c r="AE25">
        <v>112.7</v>
      </c>
    </row>
    <row r="26" spans="1:31" x14ac:dyDescent="0.3">
      <c r="A26" t="s">
        <v>27</v>
      </c>
      <c r="B26">
        <v>2013</v>
      </c>
      <c r="C26" t="s">
        <v>38</v>
      </c>
      <c r="D26">
        <f t="shared" si="0"/>
        <v>9</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s="2">
        <f>'Missing values'!V259</f>
        <v>109.7</v>
      </c>
      <c r="W26">
        <v>111.1</v>
      </c>
      <c r="X26">
        <v>109.6</v>
      </c>
      <c r="Y26">
        <v>108.3</v>
      </c>
      <c r="Z26">
        <v>106.7</v>
      </c>
      <c r="AA26">
        <v>109.8</v>
      </c>
      <c r="AB26">
        <v>107.7</v>
      </c>
      <c r="AC26">
        <v>109.3</v>
      </c>
      <c r="AD26">
        <v>108.7</v>
      </c>
      <c r="AE26">
        <v>114.2</v>
      </c>
    </row>
    <row r="27" spans="1:31" x14ac:dyDescent="0.3">
      <c r="A27" t="s">
        <v>30</v>
      </c>
      <c r="B27">
        <v>2013</v>
      </c>
      <c r="C27" t="s">
        <v>38</v>
      </c>
      <c r="D27">
        <f t="shared" si="0"/>
        <v>9</v>
      </c>
      <c r="E27">
        <v>116.4</v>
      </c>
      <c r="F27">
        <v>116.9</v>
      </c>
      <c r="G27">
        <v>112.3</v>
      </c>
      <c r="H27">
        <v>110.5</v>
      </c>
      <c r="I27">
        <v>105.3</v>
      </c>
      <c r="J27">
        <v>107.3</v>
      </c>
      <c r="K27">
        <v>160.9</v>
      </c>
      <c r="L27">
        <v>107.1</v>
      </c>
      <c r="M27">
        <v>103.1</v>
      </c>
      <c r="N27">
        <v>108.3</v>
      </c>
      <c r="O27">
        <v>110.7</v>
      </c>
      <c r="P27">
        <v>114.6</v>
      </c>
      <c r="Q27">
        <v>118.3</v>
      </c>
      <c r="R27">
        <v>112</v>
      </c>
      <c r="S27">
        <v>112.2</v>
      </c>
      <c r="T27">
        <v>110.4</v>
      </c>
      <c r="U27">
        <v>111.9</v>
      </c>
      <c r="V27">
        <v>109.7</v>
      </c>
      <c r="W27">
        <v>110.5</v>
      </c>
      <c r="X27">
        <v>109.6</v>
      </c>
      <c r="Y27">
        <v>108.1</v>
      </c>
      <c r="Z27">
        <v>106.8</v>
      </c>
      <c r="AA27">
        <v>110.6</v>
      </c>
      <c r="AB27">
        <v>107.5</v>
      </c>
      <c r="AC27">
        <v>109.9</v>
      </c>
      <c r="AD27">
        <v>109</v>
      </c>
      <c r="AE27">
        <v>113.7</v>
      </c>
    </row>
    <row r="28" spans="1:31" x14ac:dyDescent="0.3">
      <c r="A28" t="s">
        <v>29</v>
      </c>
      <c r="B28">
        <v>2013</v>
      </c>
      <c r="C28" t="s">
        <v>38</v>
      </c>
      <c r="D28">
        <f t="shared" si="0"/>
        <v>9</v>
      </c>
      <c r="E28">
        <v>118.6</v>
      </c>
      <c r="F28">
        <v>119.1</v>
      </c>
      <c r="G28">
        <v>113.2</v>
      </c>
      <c r="H28">
        <v>109.6</v>
      </c>
      <c r="I28">
        <v>101.7</v>
      </c>
      <c r="J28">
        <v>103.2</v>
      </c>
      <c r="K28">
        <v>174.3</v>
      </c>
      <c r="L28">
        <v>105.1</v>
      </c>
      <c r="M28">
        <v>100.8</v>
      </c>
      <c r="N28">
        <v>109.1</v>
      </c>
      <c r="O28">
        <v>111.1</v>
      </c>
      <c r="P28">
        <v>115.4</v>
      </c>
      <c r="Q28">
        <v>119.2</v>
      </c>
      <c r="R28">
        <v>112.9</v>
      </c>
      <c r="S28">
        <v>111.4</v>
      </c>
      <c r="T28">
        <v>109</v>
      </c>
      <c r="U28">
        <v>111.1</v>
      </c>
      <c r="V28">
        <v>109.7</v>
      </c>
      <c r="W28">
        <v>109.5</v>
      </c>
      <c r="X28">
        <v>109.6</v>
      </c>
      <c r="Y28">
        <v>107.9</v>
      </c>
      <c r="Z28">
        <v>106.9</v>
      </c>
      <c r="AA28">
        <v>111.2</v>
      </c>
      <c r="AB28">
        <v>107.4</v>
      </c>
      <c r="AC28">
        <v>110.4</v>
      </c>
      <c r="AD28">
        <v>109.4</v>
      </c>
      <c r="AE28">
        <v>113.2</v>
      </c>
    </row>
    <row r="29" spans="1:31" x14ac:dyDescent="0.3">
      <c r="A29" t="s">
        <v>27</v>
      </c>
      <c r="B29">
        <v>2013</v>
      </c>
      <c r="C29" t="s">
        <v>39</v>
      </c>
      <c r="D29">
        <f t="shared" si="0"/>
        <v>10</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s="2">
        <f>'Missing values'!V289</f>
        <v>110.5</v>
      </c>
      <c r="W29">
        <v>111.6</v>
      </c>
      <c r="X29">
        <v>110.4</v>
      </c>
      <c r="Y29">
        <v>108.9</v>
      </c>
      <c r="Z29">
        <v>107.5</v>
      </c>
      <c r="AA29">
        <v>110.2</v>
      </c>
      <c r="AB29">
        <v>108.3</v>
      </c>
      <c r="AC29">
        <v>109.3</v>
      </c>
      <c r="AD29">
        <v>109.1</v>
      </c>
      <c r="AE29">
        <v>115.5</v>
      </c>
    </row>
    <row r="30" spans="1:31" x14ac:dyDescent="0.3">
      <c r="A30" t="s">
        <v>30</v>
      </c>
      <c r="B30">
        <v>2013</v>
      </c>
      <c r="C30" t="s">
        <v>39</v>
      </c>
      <c r="D30">
        <f t="shared" si="0"/>
        <v>10</v>
      </c>
      <c r="E30">
        <v>117.1</v>
      </c>
      <c r="F30">
        <v>116.3</v>
      </c>
      <c r="G30">
        <v>113.3</v>
      </c>
      <c r="H30">
        <v>111.2</v>
      </c>
      <c r="I30">
        <v>105.7</v>
      </c>
      <c r="J30">
        <v>109.9</v>
      </c>
      <c r="K30">
        <v>171.2</v>
      </c>
      <c r="L30">
        <v>107.3</v>
      </c>
      <c r="M30">
        <v>102.7</v>
      </c>
      <c r="N30">
        <v>108.7</v>
      </c>
      <c r="O30">
        <v>111.2</v>
      </c>
      <c r="P30">
        <v>115.4</v>
      </c>
      <c r="Q30">
        <v>120.2</v>
      </c>
      <c r="R30">
        <v>112.5</v>
      </c>
      <c r="S30">
        <v>113.2</v>
      </c>
      <c r="T30">
        <v>111.2</v>
      </c>
      <c r="U30">
        <v>112.8</v>
      </c>
      <c r="V30">
        <v>110.5</v>
      </c>
      <c r="W30">
        <v>110.9</v>
      </c>
      <c r="X30">
        <v>110.3</v>
      </c>
      <c r="Y30">
        <v>108.6</v>
      </c>
      <c r="Z30">
        <v>107.4</v>
      </c>
      <c r="AA30">
        <v>110.8</v>
      </c>
      <c r="AB30">
        <v>108.1</v>
      </c>
      <c r="AC30">
        <v>109.5</v>
      </c>
      <c r="AD30">
        <v>109.2</v>
      </c>
      <c r="AE30">
        <v>114.8</v>
      </c>
    </row>
    <row r="31" spans="1:31" x14ac:dyDescent="0.3">
      <c r="A31" t="s">
        <v>29</v>
      </c>
      <c r="B31">
        <v>2013</v>
      </c>
      <c r="C31" t="s">
        <v>39</v>
      </c>
      <c r="D31">
        <f t="shared" si="0"/>
        <v>10</v>
      </c>
      <c r="E31">
        <v>118.9</v>
      </c>
      <c r="F31">
        <v>118.1</v>
      </c>
      <c r="G31">
        <v>114.5</v>
      </c>
      <c r="H31">
        <v>110.4</v>
      </c>
      <c r="I31">
        <v>102.3</v>
      </c>
      <c r="J31">
        <v>106.2</v>
      </c>
      <c r="K31">
        <v>183.5</v>
      </c>
      <c r="L31">
        <v>105.3</v>
      </c>
      <c r="M31">
        <v>100.2</v>
      </c>
      <c r="N31">
        <v>109.6</v>
      </c>
      <c r="O31">
        <v>111.4</v>
      </c>
      <c r="P31">
        <v>116</v>
      </c>
      <c r="Q31">
        <v>120.8</v>
      </c>
      <c r="R31">
        <v>113.5</v>
      </c>
      <c r="S31">
        <v>112.5</v>
      </c>
      <c r="T31">
        <v>109.7</v>
      </c>
      <c r="U31">
        <v>112</v>
      </c>
      <c r="V31">
        <v>110.5</v>
      </c>
      <c r="W31">
        <v>109.7</v>
      </c>
      <c r="X31">
        <v>110.2</v>
      </c>
      <c r="Y31">
        <v>108.2</v>
      </c>
      <c r="Z31">
        <v>107.3</v>
      </c>
      <c r="AA31">
        <v>111.3</v>
      </c>
      <c r="AB31">
        <v>108</v>
      </c>
      <c r="AC31">
        <v>109.7</v>
      </c>
      <c r="AD31">
        <v>109.4</v>
      </c>
      <c r="AE31">
        <v>114</v>
      </c>
    </row>
    <row r="32" spans="1:31" x14ac:dyDescent="0.3">
      <c r="A32" t="s">
        <v>27</v>
      </c>
      <c r="B32">
        <v>2013</v>
      </c>
      <c r="C32" t="s">
        <v>41</v>
      </c>
      <c r="D32">
        <v>11</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s="2">
        <f>'Missing values'!V319</f>
        <v>111.1</v>
      </c>
      <c r="W32">
        <v>112.6</v>
      </c>
      <c r="X32">
        <v>111.3</v>
      </c>
      <c r="Y32">
        <v>109.7</v>
      </c>
      <c r="Z32">
        <v>108.2</v>
      </c>
      <c r="AA32">
        <v>111</v>
      </c>
      <c r="AB32">
        <v>108.7</v>
      </c>
      <c r="AC32">
        <v>109.6</v>
      </c>
      <c r="AD32">
        <v>109.8</v>
      </c>
      <c r="AE32">
        <v>117.4</v>
      </c>
    </row>
    <row r="33" spans="1:31" x14ac:dyDescent="0.3">
      <c r="A33" t="s">
        <v>30</v>
      </c>
      <c r="B33">
        <v>2013</v>
      </c>
      <c r="C33" t="s">
        <v>41</v>
      </c>
      <c r="D33">
        <f t="shared" ref="D33:D44" si="1">IF(C33="January",1,
IF(C33="february",2,
IF(C33="march",3,
IF(C33="april",4,
IF(C33="may",5,
IF(C33="june",6,
IF(C33="july",7,
IF(C33="august",8,
IF(C33="september",9,
IF(C33="october",10,
IF(C33="november",11,
IF(C33="december",12,
))))))))))))</f>
        <v>11</v>
      </c>
      <c r="E33">
        <v>118.1</v>
      </c>
      <c r="F33">
        <v>115.4</v>
      </c>
      <c r="G33">
        <v>118.7</v>
      </c>
      <c r="H33">
        <v>112.5</v>
      </c>
      <c r="I33">
        <v>106.8</v>
      </c>
      <c r="J33">
        <v>113.5</v>
      </c>
      <c r="K33">
        <v>183.1</v>
      </c>
      <c r="L33">
        <v>108.2</v>
      </c>
      <c r="M33">
        <v>102.2</v>
      </c>
      <c r="N33">
        <v>109.4</v>
      </c>
      <c r="O33">
        <v>111.8</v>
      </c>
      <c r="P33">
        <v>116.5</v>
      </c>
      <c r="Q33">
        <v>122.6</v>
      </c>
      <c r="R33">
        <v>113.1</v>
      </c>
      <c r="S33">
        <v>114.2</v>
      </c>
      <c r="T33">
        <v>111.9</v>
      </c>
      <c r="U33">
        <v>113.8</v>
      </c>
      <c r="V33">
        <v>111.1</v>
      </c>
      <c r="W33">
        <v>111.6</v>
      </c>
      <c r="X33">
        <v>111.1</v>
      </c>
      <c r="Y33">
        <v>109.3</v>
      </c>
      <c r="Z33">
        <v>108.1</v>
      </c>
      <c r="AA33">
        <v>111.2</v>
      </c>
      <c r="AB33">
        <v>108.6</v>
      </c>
      <c r="AC33">
        <v>109.5</v>
      </c>
      <c r="AD33">
        <v>109.7</v>
      </c>
      <c r="AE33">
        <v>116.3</v>
      </c>
    </row>
    <row r="34" spans="1:31" x14ac:dyDescent="0.3">
      <c r="A34" t="s">
        <v>29</v>
      </c>
      <c r="B34">
        <v>2013</v>
      </c>
      <c r="C34" t="s">
        <v>41</v>
      </c>
      <c r="D34">
        <f t="shared" si="1"/>
        <v>11</v>
      </c>
      <c r="E34">
        <v>119.8</v>
      </c>
      <c r="F34">
        <v>116.3</v>
      </c>
      <c r="G34">
        <v>122.6</v>
      </c>
      <c r="H34">
        <v>112</v>
      </c>
      <c r="I34">
        <v>103.2</v>
      </c>
      <c r="J34">
        <v>110</v>
      </c>
      <c r="K34">
        <v>192.8</v>
      </c>
      <c r="L34">
        <v>106.3</v>
      </c>
      <c r="M34">
        <v>99.5</v>
      </c>
      <c r="N34">
        <v>110.3</v>
      </c>
      <c r="O34">
        <v>111.8</v>
      </c>
      <c r="P34">
        <v>117.1</v>
      </c>
      <c r="Q34">
        <v>122.9</v>
      </c>
      <c r="R34">
        <v>114.1</v>
      </c>
      <c r="S34">
        <v>113.5</v>
      </c>
      <c r="T34">
        <v>110.3</v>
      </c>
      <c r="U34">
        <v>113</v>
      </c>
      <c r="V34">
        <v>111.1</v>
      </c>
      <c r="W34">
        <v>110</v>
      </c>
      <c r="X34">
        <v>110.9</v>
      </c>
      <c r="Y34">
        <v>108.6</v>
      </c>
      <c r="Z34">
        <v>107.9</v>
      </c>
      <c r="AA34">
        <v>111.3</v>
      </c>
      <c r="AB34">
        <v>108.5</v>
      </c>
      <c r="AC34">
        <v>109.5</v>
      </c>
      <c r="AD34">
        <v>109.6</v>
      </c>
      <c r="AE34">
        <v>115</v>
      </c>
    </row>
    <row r="35" spans="1:31" x14ac:dyDescent="0.3">
      <c r="A35" t="s">
        <v>27</v>
      </c>
      <c r="B35">
        <v>2013</v>
      </c>
      <c r="C35" t="s">
        <v>42</v>
      </c>
      <c r="D35">
        <f t="shared" si="1"/>
        <v>12</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s="2">
        <f>'Missing values'!V349</f>
        <v>110.7</v>
      </c>
      <c r="W35">
        <v>112.8</v>
      </c>
      <c r="X35">
        <v>112.1</v>
      </c>
      <c r="Y35">
        <v>110.1</v>
      </c>
      <c r="Z35">
        <v>108.1</v>
      </c>
      <c r="AA35">
        <v>111.6</v>
      </c>
      <c r="AB35">
        <v>109.2</v>
      </c>
      <c r="AC35">
        <v>109.9</v>
      </c>
      <c r="AD35">
        <v>110.1</v>
      </c>
      <c r="AE35">
        <v>115.5</v>
      </c>
    </row>
    <row r="36" spans="1:31" x14ac:dyDescent="0.3">
      <c r="A36" t="s">
        <v>30</v>
      </c>
      <c r="B36">
        <v>2013</v>
      </c>
      <c r="C36" t="s">
        <v>42</v>
      </c>
      <c r="D36">
        <f t="shared" si="1"/>
        <v>12</v>
      </c>
      <c r="E36">
        <v>119.1</v>
      </c>
      <c r="F36">
        <v>116.7</v>
      </c>
      <c r="G36">
        <v>123.5</v>
      </c>
      <c r="H36">
        <v>113.4</v>
      </c>
      <c r="I36">
        <v>107.3</v>
      </c>
      <c r="J36">
        <v>113.3</v>
      </c>
      <c r="K36">
        <v>145.4</v>
      </c>
      <c r="L36">
        <v>108.7</v>
      </c>
      <c r="M36">
        <v>101.5</v>
      </c>
      <c r="N36">
        <v>110.5</v>
      </c>
      <c r="O36">
        <v>112.1</v>
      </c>
      <c r="P36">
        <v>117.4</v>
      </c>
      <c r="Q36">
        <v>118.4</v>
      </c>
      <c r="R36">
        <v>114</v>
      </c>
      <c r="S36">
        <v>115.2</v>
      </c>
      <c r="T36">
        <v>112.7</v>
      </c>
      <c r="U36">
        <v>114.8</v>
      </c>
      <c r="V36">
        <v>110.7</v>
      </c>
      <c r="W36">
        <v>111.9</v>
      </c>
      <c r="X36">
        <v>111.7</v>
      </c>
      <c r="Y36">
        <v>109.7</v>
      </c>
      <c r="Z36">
        <v>107.9</v>
      </c>
      <c r="AA36">
        <v>111.5</v>
      </c>
      <c r="AB36">
        <v>109</v>
      </c>
      <c r="AC36">
        <v>109.8</v>
      </c>
      <c r="AD36">
        <v>110</v>
      </c>
      <c r="AE36">
        <v>114.5</v>
      </c>
    </row>
    <row r="37" spans="1:31" x14ac:dyDescent="0.3">
      <c r="A37" t="s">
        <v>29</v>
      </c>
      <c r="B37">
        <v>2013</v>
      </c>
      <c r="C37" t="s">
        <v>42</v>
      </c>
      <c r="D37">
        <f t="shared" si="1"/>
        <v>12</v>
      </c>
      <c r="E37">
        <v>120.5</v>
      </c>
      <c r="F37">
        <v>118.1</v>
      </c>
      <c r="G37">
        <v>128.5</v>
      </c>
      <c r="H37">
        <v>112.8</v>
      </c>
      <c r="I37">
        <v>103.4</v>
      </c>
      <c r="J37">
        <v>110.7</v>
      </c>
      <c r="K37">
        <v>144.80000000000001</v>
      </c>
      <c r="L37">
        <v>107.1</v>
      </c>
      <c r="M37">
        <v>98.6</v>
      </c>
      <c r="N37">
        <v>111.9</v>
      </c>
      <c r="O37">
        <v>112.1</v>
      </c>
      <c r="P37">
        <v>118.1</v>
      </c>
      <c r="Q37">
        <v>117.8</v>
      </c>
      <c r="R37">
        <v>115</v>
      </c>
      <c r="S37">
        <v>114.2</v>
      </c>
      <c r="T37">
        <v>110.9</v>
      </c>
      <c r="U37">
        <v>113.7</v>
      </c>
      <c r="V37">
        <v>110.7</v>
      </c>
      <c r="W37">
        <v>110.4</v>
      </c>
      <c r="X37">
        <v>111.3</v>
      </c>
      <c r="Y37">
        <v>109</v>
      </c>
      <c r="Z37">
        <v>107.7</v>
      </c>
      <c r="AA37">
        <v>111.4</v>
      </c>
      <c r="AB37">
        <v>108.9</v>
      </c>
      <c r="AC37">
        <v>109.7</v>
      </c>
      <c r="AD37">
        <v>109.8</v>
      </c>
      <c r="AE37">
        <v>113.3</v>
      </c>
    </row>
    <row r="38" spans="1:31" x14ac:dyDescent="0.3">
      <c r="A38" t="s">
        <v>27</v>
      </c>
      <c r="B38">
        <v>2014</v>
      </c>
      <c r="C38" t="s">
        <v>28</v>
      </c>
      <c r="D38">
        <f t="shared" si="1"/>
        <v>1</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s="2">
        <f>'Missing values'!V10</f>
        <v>111.6</v>
      </c>
      <c r="W38">
        <v>113</v>
      </c>
      <c r="X38">
        <v>112.6</v>
      </c>
      <c r="Y38">
        <v>110.6</v>
      </c>
      <c r="Z38">
        <v>108.3</v>
      </c>
      <c r="AA38">
        <v>111.8</v>
      </c>
      <c r="AB38">
        <v>109.6</v>
      </c>
      <c r="AC38">
        <v>110.5</v>
      </c>
      <c r="AD38">
        <v>110.6</v>
      </c>
      <c r="AE38">
        <v>114.2</v>
      </c>
    </row>
    <row r="39" spans="1:31" x14ac:dyDescent="0.3">
      <c r="A39" t="s">
        <v>30</v>
      </c>
      <c r="B39">
        <v>2014</v>
      </c>
      <c r="C39" t="s">
        <v>28</v>
      </c>
      <c r="D39">
        <f t="shared" si="1"/>
        <v>1</v>
      </c>
      <c r="E39">
        <v>119.6</v>
      </c>
      <c r="F39">
        <v>118.8</v>
      </c>
      <c r="G39">
        <v>124.1</v>
      </c>
      <c r="H39">
        <v>114.1</v>
      </c>
      <c r="I39">
        <v>106.8</v>
      </c>
      <c r="J39">
        <v>113.9</v>
      </c>
      <c r="K39">
        <v>122.2</v>
      </c>
      <c r="L39">
        <v>108.9</v>
      </c>
      <c r="M39">
        <v>100.2</v>
      </c>
      <c r="N39">
        <v>111</v>
      </c>
      <c r="O39">
        <v>112.3</v>
      </c>
      <c r="P39">
        <v>118.1</v>
      </c>
      <c r="Q39">
        <v>115.8</v>
      </c>
      <c r="R39">
        <v>114.5</v>
      </c>
      <c r="S39">
        <v>115.8</v>
      </c>
      <c r="T39">
        <v>113.2</v>
      </c>
      <c r="U39">
        <v>115.4</v>
      </c>
      <c r="V39">
        <v>111.6</v>
      </c>
      <c r="W39">
        <v>112.2</v>
      </c>
      <c r="X39">
        <v>112.3</v>
      </c>
      <c r="Y39">
        <v>110.3</v>
      </c>
      <c r="Z39">
        <v>108.2</v>
      </c>
      <c r="AA39">
        <v>111.6</v>
      </c>
      <c r="AB39">
        <v>109.7</v>
      </c>
      <c r="AC39">
        <v>110.7</v>
      </c>
      <c r="AD39">
        <v>110.6</v>
      </c>
      <c r="AE39">
        <v>113.6</v>
      </c>
    </row>
    <row r="40" spans="1:31" x14ac:dyDescent="0.3">
      <c r="A40" t="s">
        <v>29</v>
      </c>
      <c r="B40">
        <v>2014</v>
      </c>
      <c r="C40" t="s">
        <v>28</v>
      </c>
      <c r="D40">
        <f>IF(C40="January",1,
IF(C40="february",2,
IF(C40="march",3,
IF(C40="april",4,
IF(C40="may",5,
IF(C40="june",6,
IF(C40="july",7,
IF(C40="august",8,
IF(C40="september",9,
IF(C40="october",10,
IF(C40="november",11,
IF(C40="december",12,
))))))))))))</f>
        <v>1</v>
      </c>
      <c r="E40">
        <v>121.2</v>
      </c>
      <c r="F40">
        <v>122</v>
      </c>
      <c r="G40">
        <v>129.9</v>
      </c>
      <c r="H40">
        <v>113.6</v>
      </c>
      <c r="I40">
        <v>102.9</v>
      </c>
      <c r="J40">
        <v>112.1</v>
      </c>
      <c r="K40">
        <v>118.9</v>
      </c>
      <c r="L40">
        <v>107.5</v>
      </c>
      <c r="M40">
        <v>96.9</v>
      </c>
      <c r="N40">
        <v>112.7</v>
      </c>
      <c r="O40">
        <v>112.1</v>
      </c>
      <c r="P40">
        <v>119</v>
      </c>
      <c r="Q40">
        <v>115.5</v>
      </c>
      <c r="R40">
        <v>115.7</v>
      </c>
      <c r="S40">
        <v>114.8</v>
      </c>
      <c r="T40">
        <v>111.3</v>
      </c>
      <c r="U40">
        <v>114.3</v>
      </c>
      <c r="V40">
        <v>111.6</v>
      </c>
      <c r="W40">
        <v>111</v>
      </c>
      <c r="X40">
        <v>111.9</v>
      </c>
      <c r="Y40">
        <v>109.7</v>
      </c>
      <c r="Z40">
        <v>108</v>
      </c>
      <c r="AA40">
        <v>111.5</v>
      </c>
      <c r="AB40">
        <v>109.8</v>
      </c>
      <c r="AC40">
        <v>110.8</v>
      </c>
      <c r="AD40">
        <v>110.5</v>
      </c>
      <c r="AE40">
        <v>112.9</v>
      </c>
    </row>
    <row r="41" spans="1:31" x14ac:dyDescent="0.3">
      <c r="A41" t="s">
        <v>27</v>
      </c>
      <c r="B41">
        <v>2014</v>
      </c>
      <c r="C41" t="s">
        <v>31</v>
      </c>
      <c r="D41">
        <f t="shared" si="1"/>
        <v>2</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s="2">
        <f>'Missing values'!V43</f>
        <v>112.5</v>
      </c>
      <c r="W41">
        <v>113.2</v>
      </c>
      <c r="X41">
        <v>112.9</v>
      </c>
      <c r="Y41">
        <v>110.9</v>
      </c>
      <c r="Z41">
        <v>108.7</v>
      </c>
      <c r="AA41">
        <v>112</v>
      </c>
      <c r="AB41">
        <v>109.9</v>
      </c>
      <c r="AC41">
        <v>110.8</v>
      </c>
      <c r="AD41">
        <v>110.9</v>
      </c>
      <c r="AE41">
        <v>114</v>
      </c>
    </row>
    <row r="42" spans="1:31" x14ac:dyDescent="0.3">
      <c r="A42" t="s">
        <v>30</v>
      </c>
      <c r="B42">
        <v>2014</v>
      </c>
      <c r="C42" t="s">
        <v>31</v>
      </c>
      <c r="D42">
        <f t="shared" si="1"/>
        <v>2</v>
      </c>
      <c r="E42">
        <v>120.2</v>
      </c>
      <c r="F42">
        <v>119.2</v>
      </c>
      <c r="G42">
        <v>122.5</v>
      </c>
      <c r="H42">
        <v>115.1</v>
      </c>
      <c r="I42">
        <v>106.6</v>
      </c>
      <c r="J42">
        <v>115.4</v>
      </c>
      <c r="K42">
        <v>114.5</v>
      </c>
      <c r="L42">
        <v>109.3</v>
      </c>
      <c r="M42">
        <v>99.2</v>
      </c>
      <c r="N42">
        <v>111.4</v>
      </c>
      <c r="O42">
        <v>112.6</v>
      </c>
      <c r="P42">
        <v>118.8</v>
      </c>
      <c r="Q42">
        <v>115.3</v>
      </c>
      <c r="R42">
        <v>114.7</v>
      </c>
      <c r="S42">
        <v>116.4</v>
      </c>
      <c r="T42">
        <v>113.3</v>
      </c>
      <c r="U42">
        <v>115.9</v>
      </c>
      <c r="V42">
        <v>112.5</v>
      </c>
      <c r="W42">
        <v>112.4</v>
      </c>
      <c r="X42">
        <v>112.8</v>
      </c>
      <c r="Y42">
        <v>110.7</v>
      </c>
      <c r="Z42">
        <v>108.7</v>
      </c>
      <c r="AA42">
        <v>111.8</v>
      </c>
      <c r="AB42">
        <v>110.1</v>
      </c>
      <c r="AC42">
        <v>111.1</v>
      </c>
      <c r="AD42">
        <v>110.9</v>
      </c>
      <c r="AE42">
        <v>113.6</v>
      </c>
    </row>
    <row r="43" spans="1:31" x14ac:dyDescent="0.3">
      <c r="A43" t="s">
        <v>29</v>
      </c>
      <c r="B43">
        <v>2014</v>
      </c>
      <c r="C43" t="s">
        <v>31</v>
      </c>
      <c r="D43">
        <f t="shared" si="1"/>
        <v>2</v>
      </c>
      <c r="E43">
        <v>121.9</v>
      </c>
      <c r="F43">
        <v>122</v>
      </c>
      <c r="G43">
        <v>124.5</v>
      </c>
      <c r="H43">
        <v>115.2</v>
      </c>
      <c r="I43">
        <v>102.5</v>
      </c>
      <c r="J43">
        <v>114.1</v>
      </c>
      <c r="K43">
        <v>111.5</v>
      </c>
      <c r="L43">
        <v>108.2</v>
      </c>
      <c r="M43">
        <v>95.4</v>
      </c>
      <c r="N43">
        <v>113.5</v>
      </c>
      <c r="O43">
        <v>112.1</v>
      </c>
      <c r="P43">
        <v>119.9</v>
      </c>
      <c r="Q43">
        <v>115.2</v>
      </c>
      <c r="R43">
        <v>116.2</v>
      </c>
      <c r="S43">
        <v>115.3</v>
      </c>
      <c r="T43">
        <v>111.7</v>
      </c>
      <c r="U43">
        <v>114.7</v>
      </c>
      <c r="V43">
        <v>112.5</v>
      </c>
      <c r="W43">
        <v>111.1</v>
      </c>
      <c r="X43">
        <v>112.6</v>
      </c>
      <c r="Y43">
        <v>110.4</v>
      </c>
      <c r="Z43">
        <v>108.7</v>
      </c>
      <c r="AA43">
        <v>111.6</v>
      </c>
      <c r="AB43">
        <v>110.3</v>
      </c>
      <c r="AC43">
        <v>111.3</v>
      </c>
      <c r="AD43">
        <v>111</v>
      </c>
      <c r="AE43">
        <v>113.1</v>
      </c>
    </row>
    <row r="44" spans="1:31" x14ac:dyDescent="0.3">
      <c r="A44" t="s">
        <v>27</v>
      </c>
      <c r="B44">
        <v>2014</v>
      </c>
      <c r="C44" t="s">
        <v>32</v>
      </c>
      <c r="D44">
        <f t="shared" si="1"/>
        <v>3</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s="2">
        <f>'Missing values'!V76</f>
        <v>113.2</v>
      </c>
      <c r="W44">
        <v>113.4</v>
      </c>
      <c r="X44">
        <v>113.4</v>
      </c>
      <c r="Y44">
        <v>111.4</v>
      </c>
      <c r="Z44">
        <v>108.9</v>
      </c>
      <c r="AA44">
        <v>112.4</v>
      </c>
      <c r="AB44">
        <v>110.2</v>
      </c>
      <c r="AC44">
        <v>111.2</v>
      </c>
      <c r="AD44">
        <v>111.3</v>
      </c>
      <c r="AE44">
        <v>114.6</v>
      </c>
    </row>
    <row r="45" spans="1:31" x14ac:dyDescent="0.3">
      <c r="A45" t="s">
        <v>30</v>
      </c>
      <c r="B45">
        <v>2014</v>
      </c>
      <c r="C45" t="s">
        <v>32</v>
      </c>
      <c r="D45">
        <v>3</v>
      </c>
      <c r="E45">
        <v>120.7</v>
      </c>
      <c r="F45">
        <v>119.3</v>
      </c>
      <c r="G45">
        <v>121</v>
      </c>
      <c r="H45">
        <v>116.1</v>
      </c>
      <c r="I45">
        <v>106.9</v>
      </c>
      <c r="J45">
        <v>118.7</v>
      </c>
      <c r="K45">
        <v>116.3</v>
      </c>
      <c r="L45">
        <v>109.8</v>
      </c>
      <c r="M45">
        <v>99.6</v>
      </c>
      <c r="N45">
        <v>111.8</v>
      </c>
      <c r="O45">
        <v>112.7</v>
      </c>
      <c r="P45">
        <v>119.3</v>
      </c>
      <c r="Q45">
        <v>116.1</v>
      </c>
      <c r="R45">
        <v>115.2</v>
      </c>
      <c r="S45">
        <v>116.8</v>
      </c>
      <c r="T45">
        <v>113.7</v>
      </c>
      <c r="U45">
        <v>116.4</v>
      </c>
      <c r="V45">
        <v>113.2</v>
      </c>
      <c r="W45">
        <v>112.5</v>
      </c>
      <c r="X45">
        <v>113.2</v>
      </c>
      <c r="Y45">
        <v>111.2</v>
      </c>
      <c r="Z45">
        <v>109</v>
      </c>
      <c r="AA45">
        <v>112</v>
      </c>
      <c r="AB45">
        <v>110.6</v>
      </c>
      <c r="AC45">
        <v>111.4</v>
      </c>
      <c r="AD45">
        <v>111.3</v>
      </c>
      <c r="AE45">
        <v>114.2</v>
      </c>
    </row>
    <row r="46" spans="1:31" x14ac:dyDescent="0.3">
      <c r="A46" t="s">
        <v>29</v>
      </c>
      <c r="B46">
        <v>2014</v>
      </c>
      <c r="C46" t="s">
        <v>32</v>
      </c>
      <c r="D46">
        <f t="shared" ref="D46:D109" si="2">IF(C46="January",1,
IF(C46="february",2,
IF(C46="march",3,
IF(C46="april",4,
IF(C46="may",5,
IF(C46="june",6,
IF(C46="july",7,
IF(C46="august",8,
IF(C46="september",9,
IF(C46="october",10,
IF(C46="november",11,
IF(C46="december",12,
))))))))))))</f>
        <v>3</v>
      </c>
      <c r="E46">
        <v>122.1</v>
      </c>
      <c r="F46">
        <v>121.4</v>
      </c>
      <c r="G46">
        <v>121.5</v>
      </c>
      <c r="H46">
        <v>116.2</v>
      </c>
      <c r="I46">
        <v>102.8</v>
      </c>
      <c r="J46">
        <v>117.7</v>
      </c>
      <c r="K46">
        <v>113.3</v>
      </c>
      <c r="L46">
        <v>108.9</v>
      </c>
      <c r="M46">
        <v>96.3</v>
      </c>
      <c r="N46">
        <v>114.1</v>
      </c>
      <c r="O46">
        <v>112.2</v>
      </c>
      <c r="P46">
        <v>120.5</v>
      </c>
      <c r="Q46">
        <v>116</v>
      </c>
      <c r="R46">
        <v>116.7</v>
      </c>
      <c r="S46">
        <v>115.8</v>
      </c>
      <c r="T46">
        <v>112.1</v>
      </c>
      <c r="U46">
        <v>115.2</v>
      </c>
      <c r="V46">
        <v>113.2</v>
      </c>
      <c r="W46">
        <v>110.9</v>
      </c>
      <c r="X46">
        <v>113</v>
      </c>
      <c r="Y46">
        <v>110.8</v>
      </c>
      <c r="Z46">
        <v>109.2</v>
      </c>
      <c r="AA46">
        <v>111.8</v>
      </c>
      <c r="AB46">
        <v>110.9</v>
      </c>
      <c r="AC46">
        <v>111.6</v>
      </c>
      <c r="AD46">
        <v>111.4</v>
      </c>
      <c r="AE46">
        <v>113.7</v>
      </c>
    </row>
    <row r="47" spans="1:31" x14ac:dyDescent="0.3">
      <c r="A47" t="s">
        <v>27</v>
      </c>
      <c r="B47">
        <v>2014</v>
      </c>
      <c r="C47" t="s">
        <v>33</v>
      </c>
      <c r="D47">
        <f t="shared" si="2"/>
        <v>4</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s="2">
        <f>'Missing values'!V109</f>
        <v>113.9</v>
      </c>
      <c r="W47">
        <v>113.4</v>
      </c>
      <c r="X47">
        <v>113.7</v>
      </c>
      <c r="Y47">
        <v>111.8</v>
      </c>
      <c r="Z47">
        <v>108.9</v>
      </c>
      <c r="AA47">
        <v>113</v>
      </c>
      <c r="AB47">
        <v>110.5</v>
      </c>
      <c r="AC47">
        <v>111.2</v>
      </c>
      <c r="AD47">
        <v>111.5</v>
      </c>
      <c r="AE47">
        <v>115.4</v>
      </c>
    </row>
    <row r="48" spans="1:31" x14ac:dyDescent="0.3">
      <c r="A48" t="s">
        <v>30</v>
      </c>
      <c r="B48">
        <v>2014</v>
      </c>
      <c r="C48" t="s">
        <v>33</v>
      </c>
      <c r="D48">
        <f t="shared" si="2"/>
        <v>4</v>
      </c>
      <c r="E48">
        <v>120.9</v>
      </c>
      <c r="F48">
        <v>119.9</v>
      </c>
      <c r="G48">
        <v>116.2</v>
      </c>
      <c r="H48">
        <v>117</v>
      </c>
      <c r="I48">
        <v>107.3</v>
      </c>
      <c r="J48">
        <v>126.1</v>
      </c>
      <c r="K48">
        <v>120.7</v>
      </c>
      <c r="L48">
        <v>111</v>
      </c>
      <c r="M48">
        <v>101.8</v>
      </c>
      <c r="N48">
        <v>112.6</v>
      </c>
      <c r="O48">
        <v>113.2</v>
      </c>
      <c r="P48">
        <v>119.8</v>
      </c>
      <c r="Q48">
        <v>117.6</v>
      </c>
      <c r="R48">
        <v>116</v>
      </c>
      <c r="S48">
        <v>117.4</v>
      </c>
      <c r="T48">
        <v>114.6</v>
      </c>
      <c r="U48">
        <v>117</v>
      </c>
      <c r="V48">
        <v>113.9</v>
      </c>
      <c r="W48">
        <v>112.5</v>
      </c>
      <c r="X48">
        <v>113.6</v>
      </c>
      <c r="Y48">
        <v>111.5</v>
      </c>
      <c r="Z48">
        <v>109</v>
      </c>
      <c r="AA48">
        <v>112.7</v>
      </c>
      <c r="AB48">
        <v>110.9</v>
      </c>
      <c r="AC48">
        <v>111.2</v>
      </c>
      <c r="AD48">
        <v>111.5</v>
      </c>
      <c r="AE48">
        <v>115.1</v>
      </c>
    </row>
    <row r="49" spans="1:31" x14ac:dyDescent="0.3">
      <c r="A49" t="s">
        <v>29</v>
      </c>
      <c r="B49">
        <v>2014</v>
      </c>
      <c r="C49" t="s">
        <v>33</v>
      </c>
      <c r="D49">
        <f t="shared" si="2"/>
        <v>4</v>
      </c>
      <c r="E49">
        <v>122.5</v>
      </c>
      <c r="F49">
        <v>121.7</v>
      </c>
      <c r="G49">
        <v>113.3</v>
      </c>
      <c r="H49">
        <v>117</v>
      </c>
      <c r="I49">
        <v>103.1</v>
      </c>
      <c r="J49">
        <v>126.7</v>
      </c>
      <c r="K49">
        <v>121.2</v>
      </c>
      <c r="L49">
        <v>111</v>
      </c>
      <c r="M49">
        <v>100.3</v>
      </c>
      <c r="N49">
        <v>115.3</v>
      </c>
      <c r="O49">
        <v>112.7</v>
      </c>
      <c r="P49">
        <v>121</v>
      </c>
      <c r="Q49">
        <v>118.2</v>
      </c>
      <c r="R49">
        <v>117.6</v>
      </c>
      <c r="S49">
        <v>116.3</v>
      </c>
      <c r="T49">
        <v>112.5</v>
      </c>
      <c r="U49">
        <v>115.7</v>
      </c>
      <c r="V49">
        <v>113.9</v>
      </c>
      <c r="W49">
        <v>110.9</v>
      </c>
      <c r="X49">
        <v>113.4</v>
      </c>
      <c r="Y49">
        <v>111</v>
      </c>
      <c r="Z49">
        <v>109.1</v>
      </c>
      <c r="AA49">
        <v>112.5</v>
      </c>
      <c r="AB49">
        <v>111.2</v>
      </c>
      <c r="AC49">
        <v>111.2</v>
      </c>
      <c r="AD49">
        <v>111.4</v>
      </c>
      <c r="AE49">
        <v>114.7</v>
      </c>
    </row>
    <row r="50" spans="1:31" x14ac:dyDescent="0.3">
      <c r="A50" t="s">
        <v>27</v>
      </c>
      <c r="B50">
        <v>2014</v>
      </c>
      <c r="C50" t="s">
        <v>34</v>
      </c>
      <c r="D50">
        <f t="shared" si="2"/>
        <v>5</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s="2">
        <f>'Missing values'!V139</f>
        <v>114.3</v>
      </c>
      <c r="W50">
        <v>113.4</v>
      </c>
      <c r="X50">
        <v>114.1</v>
      </c>
      <c r="Y50">
        <v>112.1</v>
      </c>
      <c r="Z50">
        <v>108.9</v>
      </c>
      <c r="AA50">
        <v>113.1</v>
      </c>
      <c r="AB50">
        <v>110.9</v>
      </c>
      <c r="AC50">
        <v>111.4</v>
      </c>
      <c r="AD50">
        <v>111.8</v>
      </c>
      <c r="AE50">
        <v>116</v>
      </c>
    </row>
    <row r="51" spans="1:31" x14ac:dyDescent="0.3">
      <c r="A51" t="s">
        <v>30</v>
      </c>
      <c r="B51">
        <v>2014</v>
      </c>
      <c r="C51" t="s">
        <v>34</v>
      </c>
      <c r="D51">
        <f t="shared" si="2"/>
        <v>5</v>
      </c>
      <c r="E51">
        <v>121.1</v>
      </c>
      <c r="F51">
        <v>121.6</v>
      </c>
      <c r="G51">
        <v>115.9</v>
      </c>
      <c r="H51">
        <v>118.4</v>
      </c>
      <c r="I51">
        <v>107.7</v>
      </c>
      <c r="J51">
        <v>127.7</v>
      </c>
      <c r="K51">
        <v>125</v>
      </c>
      <c r="L51">
        <v>111.9</v>
      </c>
      <c r="M51">
        <v>102.8</v>
      </c>
      <c r="N51">
        <v>113.4</v>
      </c>
      <c r="O51">
        <v>113.7</v>
      </c>
      <c r="P51">
        <v>120.4</v>
      </c>
      <c r="Q51">
        <v>118.9</v>
      </c>
      <c r="R51">
        <v>116.8</v>
      </c>
      <c r="S51">
        <v>118</v>
      </c>
      <c r="T51">
        <v>115.2</v>
      </c>
      <c r="U51">
        <v>117.6</v>
      </c>
      <c r="V51">
        <v>114.3</v>
      </c>
      <c r="W51">
        <v>112.5</v>
      </c>
      <c r="X51">
        <v>114.1</v>
      </c>
      <c r="Y51">
        <v>111.8</v>
      </c>
      <c r="Z51">
        <v>109.1</v>
      </c>
      <c r="AA51">
        <v>113</v>
      </c>
      <c r="AB51">
        <v>111.2</v>
      </c>
      <c r="AC51">
        <v>111.3</v>
      </c>
      <c r="AD51">
        <v>111.8</v>
      </c>
      <c r="AE51">
        <v>115.8</v>
      </c>
    </row>
    <row r="52" spans="1:31" x14ac:dyDescent="0.3">
      <c r="A52" t="s">
        <v>29</v>
      </c>
      <c r="B52">
        <v>2014</v>
      </c>
      <c r="C52" t="s">
        <v>34</v>
      </c>
      <c r="D52">
        <f t="shared" si="2"/>
        <v>5</v>
      </c>
      <c r="E52">
        <v>122.7</v>
      </c>
      <c r="F52">
        <v>124.1</v>
      </c>
      <c r="G52">
        <v>114.2</v>
      </c>
      <c r="H52">
        <v>119.1</v>
      </c>
      <c r="I52">
        <v>103.5</v>
      </c>
      <c r="J52">
        <v>129.19999999999999</v>
      </c>
      <c r="K52">
        <v>127</v>
      </c>
      <c r="L52">
        <v>112.6</v>
      </c>
      <c r="M52">
        <v>101.3</v>
      </c>
      <c r="N52">
        <v>117</v>
      </c>
      <c r="O52">
        <v>112.9</v>
      </c>
      <c r="P52">
        <v>121.7</v>
      </c>
      <c r="Q52">
        <v>120</v>
      </c>
      <c r="R52">
        <v>118.3</v>
      </c>
      <c r="S52">
        <v>116.8</v>
      </c>
      <c r="T52">
        <v>112.9</v>
      </c>
      <c r="U52">
        <v>116.2</v>
      </c>
      <c r="V52">
        <v>114.3</v>
      </c>
      <c r="W52">
        <v>111.1</v>
      </c>
      <c r="X52">
        <v>114.1</v>
      </c>
      <c r="Y52">
        <v>111.2</v>
      </c>
      <c r="Z52">
        <v>109.3</v>
      </c>
      <c r="AA52">
        <v>112.9</v>
      </c>
      <c r="AB52">
        <v>111.5</v>
      </c>
      <c r="AC52">
        <v>111.3</v>
      </c>
      <c r="AD52">
        <v>111.7</v>
      </c>
      <c r="AE52">
        <v>115.6</v>
      </c>
    </row>
    <row r="53" spans="1:31" x14ac:dyDescent="0.3">
      <c r="A53" t="s">
        <v>27</v>
      </c>
      <c r="B53">
        <v>2014</v>
      </c>
      <c r="C53" t="s">
        <v>35</v>
      </c>
      <c r="D53">
        <f t="shared" si="2"/>
        <v>6</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s="2">
        <f>'Missing values'!V172</f>
        <v>113.9</v>
      </c>
      <c r="W53">
        <v>114.4</v>
      </c>
      <c r="X53">
        <v>114.9</v>
      </c>
      <c r="Y53">
        <v>112.8</v>
      </c>
      <c r="Z53">
        <v>108</v>
      </c>
      <c r="AA53">
        <v>114.3</v>
      </c>
      <c r="AB53">
        <v>111.4</v>
      </c>
      <c r="AC53">
        <v>112.2</v>
      </c>
      <c r="AD53">
        <v>112.3</v>
      </c>
      <c r="AE53">
        <v>117</v>
      </c>
    </row>
    <row r="54" spans="1:31" x14ac:dyDescent="0.3">
      <c r="A54" t="s">
        <v>30</v>
      </c>
      <c r="B54">
        <v>2014</v>
      </c>
      <c r="C54" t="s">
        <v>35</v>
      </c>
      <c r="D54">
        <f t="shared" si="2"/>
        <v>6</v>
      </c>
      <c r="E54">
        <v>121.5</v>
      </c>
      <c r="F54">
        <v>123.1</v>
      </c>
      <c r="G54">
        <v>115.8</v>
      </c>
      <c r="H54">
        <v>119.7</v>
      </c>
      <c r="I54">
        <v>107.8</v>
      </c>
      <c r="J54">
        <v>128.30000000000001</v>
      </c>
      <c r="K54">
        <v>132.1</v>
      </c>
      <c r="L54">
        <v>112.4</v>
      </c>
      <c r="M54">
        <v>102.9</v>
      </c>
      <c r="N54">
        <v>114.3</v>
      </c>
      <c r="O54">
        <v>114.2</v>
      </c>
      <c r="P54">
        <v>121.2</v>
      </c>
      <c r="Q54">
        <v>120.4</v>
      </c>
      <c r="R54">
        <v>117.8</v>
      </c>
      <c r="S54">
        <v>118.8</v>
      </c>
      <c r="T54">
        <v>115.6</v>
      </c>
      <c r="U54">
        <v>118.3</v>
      </c>
      <c r="V54">
        <v>113.9</v>
      </c>
      <c r="W54">
        <v>113.2</v>
      </c>
      <c r="X54">
        <v>114.6</v>
      </c>
      <c r="Y54">
        <v>112.3</v>
      </c>
      <c r="Z54">
        <v>108.3</v>
      </c>
      <c r="AA54">
        <v>114.8</v>
      </c>
      <c r="AB54">
        <v>111.6</v>
      </c>
      <c r="AC54">
        <v>111.8</v>
      </c>
      <c r="AD54">
        <v>112.3</v>
      </c>
      <c r="AE54">
        <v>116.7</v>
      </c>
    </row>
    <row r="55" spans="1:31" x14ac:dyDescent="0.3">
      <c r="A55" t="s">
        <v>29</v>
      </c>
      <c r="B55">
        <v>2014</v>
      </c>
      <c r="C55" t="s">
        <v>35</v>
      </c>
      <c r="D55">
        <f t="shared" si="2"/>
        <v>6</v>
      </c>
      <c r="E55">
        <v>123.1</v>
      </c>
      <c r="F55">
        <v>125.9</v>
      </c>
      <c r="G55">
        <v>115.4</v>
      </c>
      <c r="H55">
        <v>120.4</v>
      </c>
      <c r="I55">
        <v>103.4</v>
      </c>
      <c r="J55">
        <v>131.19999999999999</v>
      </c>
      <c r="K55">
        <v>137.5</v>
      </c>
      <c r="L55">
        <v>112.8</v>
      </c>
      <c r="M55">
        <v>101.4</v>
      </c>
      <c r="N55">
        <v>118.3</v>
      </c>
      <c r="O55">
        <v>113.2</v>
      </c>
      <c r="P55">
        <v>122.4</v>
      </c>
      <c r="Q55">
        <v>122</v>
      </c>
      <c r="R55">
        <v>119</v>
      </c>
      <c r="S55">
        <v>117.4</v>
      </c>
      <c r="T55">
        <v>113.2</v>
      </c>
      <c r="U55">
        <v>116.7</v>
      </c>
      <c r="V55">
        <v>113.9</v>
      </c>
      <c r="W55">
        <v>111.2</v>
      </c>
      <c r="X55">
        <v>114.3</v>
      </c>
      <c r="Y55">
        <v>111.4</v>
      </c>
      <c r="Z55">
        <v>108.7</v>
      </c>
      <c r="AA55">
        <v>115.1</v>
      </c>
      <c r="AB55">
        <v>111.8</v>
      </c>
      <c r="AC55">
        <v>111.5</v>
      </c>
      <c r="AD55">
        <v>112.2</v>
      </c>
      <c r="AE55">
        <v>116.4</v>
      </c>
    </row>
    <row r="56" spans="1:31" x14ac:dyDescent="0.3">
      <c r="A56" t="s">
        <v>27</v>
      </c>
      <c r="B56">
        <v>2014</v>
      </c>
      <c r="C56" t="s">
        <v>36</v>
      </c>
      <c r="D56">
        <f t="shared" si="2"/>
        <v>7</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s="2">
        <f>'Missing values'!V202</f>
        <v>114.8</v>
      </c>
      <c r="W56">
        <v>115.3</v>
      </c>
      <c r="X56">
        <v>115.4</v>
      </c>
      <c r="Y56">
        <v>113.4</v>
      </c>
      <c r="Z56">
        <v>108.8</v>
      </c>
      <c r="AA56">
        <v>115.5</v>
      </c>
      <c r="AB56">
        <v>111.8</v>
      </c>
      <c r="AC56">
        <v>113.2</v>
      </c>
      <c r="AD56">
        <v>113.1</v>
      </c>
      <c r="AE56">
        <v>119.5</v>
      </c>
    </row>
    <row r="57" spans="1:31" x14ac:dyDescent="0.3">
      <c r="A57" t="s">
        <v>30</v>
      </c>
      <c r="B57">
        <v>2014</v>
      </c>
      <c r="C57" t="s">
        <v>36</v>
      </c>
      <c r="D57">
        <f t="shared" si="2"/>
        <v>7</v>
      </c>
      <c r="E57">
        <v>122.4</v>
      </c>
      <c r="F57">
        <v>123.9</v>
      </c>
      <c r="G57">
        <v>117.8</v>
      </c>
      <c r="H57">
        <v>121</v>
      </c>
      <c r="I57">
        <v>107.9</v>
      </c>
      <c r="J57">
        <v>131.19999999999999</v>
      </c>
      <c r="K57">
        <v>157.69999999999999</v>
      </c>
      <c r="L57">
        <v>113.2</v>
      </c>
      <c r="M57">
        <v>104.1</v>
      </c>
      <c r="N57">
        <v>115.5</v>
      </c>
      <c r="O57">
        <v>114.8</v>
      </c>
      <c r="P57">
        <v>122.1</v>
      </c>
      <c r="Q57">
        <v>124.7</v>
      </c>
      <c r="R57">
        <v>118.8</v>
      </c>
      <c r="S57">
        <v>119.6</v>
      </c>
      <c r="T57">
        <v>116.3</v>
      </c>
      <c r="U57">
        <v>119.1</v>
      </c>
      <c r="V57">
        <v>114.8</v>
      </c>
      <c r="W57">
        <v>113.9</v>
      </c>
      <c r="X57">
        <v>115.2</v>
      </c>
      <c r="Y57">
        <v>112.7</v>
      </c>
      <c r="Z57">
        <v>109.2</v>
      </c>
      <c r="AA57">
        <v>116.8</v>
      </c>
      <c r="AB57">
        <v>112.1</v>
      </c>
      <c r="AC57">
        <v>113.1</v>
      </c>
      <c r="AD57">
        <v>113.3</v>
      </c>
      <c r="AE57">
        <v>119.2</v>
      </c>
    </row>
    <row r="58" spans="1:31" x14ac:dyDescent="0.3">
      <c r="A58" t="s">
        <v>29</v>
      </c>
      <c r="B58">
        <v>2014</v>
      </c>
      <c r="C58" t="s">
        <v>36</v>
      </c>
      <c r="D58">
        <f t="shared" si="2"/>
        <v>7</v>
      </c>
      <c r="E58">
        <v>123.8</v>
      </c>
      <c r="F58">
        <v>126.4</v>
      </c>
      <c r="G58">
        <v>118</v>
      </c>
      <c r="H58">
        <v>121.6</v>
      </c>
      <c r="I58">
        <v>103.5</v>
      </c>
      <c r="J58">
        <v>133.69999999999999</v>
      </c>
      <c r="K58">
        <v>172.4</v>
      </c>
      <c r="L58">
        <v>113.1</v>
      </c>
      <c r="M58">
        <v>102.7</v>
      </c>
      <c r="N58">
        <v>120</v>
      </c>
      <c r="O58">
        <v>113.8</v>
      </c>
      <c r="P58">
        <v>123.4</v>
      </c>
      <c r="Q58">
        <v>127.1</v>
      </c>
      <c r="R58">
        <v>121</v>
      </c>
      <c r="S58">
        <v>118</v>
      </c>
      <c r="T58">
        <v>113.6</v>
      </c>
      <c r="U58">
        <v>117.4</v>
      </c>
      <c r="V58">
        <v>114.8</v>
      </c>
      <c r="W58">
        <v>111.6</v>
      </c>
      <c r="X58">
        <v>114.9</v>
      </c>
      <c r="Y58">
        <v>111.5</v>
      </c>
      <c r="Z58">
        <v>109.7</v>
      </c>
      <c r="AA58">
        <v>117.8</v>
      </c>
      <c r="AB58">
        <v>112.4</v>
      </c>
      <c r="AC58">
        <v>113</v>
      </c>
      <c r="AD58">
        <v>113.5</v>
      </c>
      <c r="AE58">
        <v>118.9</v>
      </c>
    </row>
    <row r="59" spans="1:31" x14ac:dyDescent="0.3">
      <c r="A59" t="s">
        <v>27</v>
      </c>
      <c r="B59">
        <v>2014</v>
      </c>
      <c r="C59" t="s">
        <v>37</v>
      </c>
      <c r="D59">
        <f t="shared" si="2"/>
        <v>8</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s="2">
        <f>'Missing values'!V232</f>
        <v>115.5</v>
      </c>
      <c r="W59">
        <v>115.4</v>
      </c>
      <c r="X59">
        <v>115.9</v>
      </c>
      <c r="Y59">
        <v>114</v>
      </c>
      <c r="Z59">
        <v>109.4</v>
      </c>
      <c r="AA59">
        <v>116.2</v>
      </c>
      <c r="AB59">
        <v>112.2</v>
      </c>
      <c r="AC59">
        <v>113.2</v>
      </c>
      <c r="AD59">
        <v>113.5</v>
      </c>
      <c r="AE59">
        <v>120.7</v>
      </c>
    </row>
    <row r="60" spans="1:31" x14ac:dyDescent="0.3">
      <c r="A60" t="s">
        <v>30</v>
      </c>
      <c r="B60">
        <v>2014</v>
      </c>
      <c r="C60" t="s">
        <v>37</v>
      </c>
      <c r="D60">
        <f t="shared" si="2"/>
        <v>8</v>
      </c>
      <c r="E60">
        <v>122.7</v>
      </c>
      <c r="F60">
        <v>124.4</v>
      </c>
      <c r="G60">
        <v>117.3</v>
      </c>
      <c r="H60">
        <v>122</v>
      </c>
      <c r="I60">
        <v>108</v>
      </c>
      <c r="J60">
        <v>131.1</v>
      </c>
      <c r="K60">
        <v>168.2</v>
      </c>
      <c r="L60">
        <v>114.5</v>
      </c>
      <c r="M60">
        <v>104.3</v>
      </c>
      <c r="N60">
        <v>117.1</v>
      </c>
      <c r="O60">
        <v>115.2</v>
      </c>
      <c r="P60">
        <v>123.1</v>
      </c>
      <c r="Q60">
        <v>126.6</v>
      </c>
      <c r="R60">
        <v>119.9</v>
      </c>
      <c r="S60">
        <v>120</v>
      </c>
      <c r="T60">
        <v>116.8</v>
      </c>
      <c r="U60">
        <v>119.6</v>
      </c>
      <c r="V60">
        <v>115.5</v>
      </c>
      <c r="W60">
        <v>114</v>
      </c>
      <c r="X60">
        <v>115.6</v>
      </c>
      <c r="Y60">
        <v>113.3</v>
      </c>
      <c r="Z60">
        <v>109.9</v>
      </c>
      <c r="AA60">
        <v>118</v>
      </c>
      <c r="AB60">
        <v>112.6</v>
      </c>
      <c r="AC60">
        <v>112.8</v>
      </c>
      <c r="AD60">
        <v>113.7</v>
      </c>
      <c r="AE60">
        <v>120.3</v>
      </c>
    </row>
    <row r="61" spans="1:31" x14ac:dyDescent="0.3">
      <c r="A61" t="s">
        <v>29</v>
      </c>
      <c r="B61">
        <v>2014</v>
      </c>
      <c r="C61" t="s">
        <v>37</v>
      </c>
      <c r="D61">
        <f t="shared" si="2"/>
        <v>8</v>
      </c>
      <c r="E61">
        <v>124.8</v>
      </c>
      <c r="F61">
        <v>127.3</v>
      </c>
      <c r="G61">
        <v>116.5</v>
      </c>
      <c r="H61">
        <v>122.2</v>
      </c>
      <c r="I61">
        <v>103.6</v>
      </c>
      <c r="J61">
        <v>132.69999999999999</v>
      </c>
      <c r="K61">
        <v>181.9</v>
      </c>
      <c r="L61">
        <v>115.2</v>
      </c>
      <c r="M61">
        <v>102.7</v>
      </c>
      <c r="N61">
        <v>122.1</v>
      </c>
      <c r="O61">
        <v>114.4</v>
      </c>
      <c r="P61">
        <v>124.7</v>
      </c>
      <c r="Q61">
        <v>128.9</v>
      </c>
      <c r="R61">
        <v>123</v>
      </c>
      <c r="S61">
        <v>118.6</v>
      </c>
      <c r="T61">
        <v>114.1</v>
      </c>
      <c r="U61">
        <v>117.9</v>
      </c>
      <c r="V61">
        <v>115.5</v>
      </c>
      <c r="W61">
        <v>111.8</v>
      </c>
      <c r="X61">
        <v>115.3</v>
      </c>
      <c r="Y61">
        <v>112.2</v>
      </c>
      <c r="Z61">
        <v>110.5</v>
      </c>
      <c r="AA61">
        <v>119.2</v>
      </c>
      <c r="AB61">
        <v>112.9</v>
      </c>
      <c r="AC61">
        <v>112.5</v>
      </c>
      <c r="AD61">
        <v>113.9</v>
      </c>
      <c r="AE61">
        <v>119.9</v>
      </c>
    </row>
    <row r="62" spans="1:31" x14ac:dyDescent="0.3">
      <c r="A62" t="s">
        <v>27</v>
      </c>
      <c r="B62">
        <v>2014</v>
      </c>
      <c r="C62" t="s">
        <v>38</v>
      </c>
      <c r="D62">
        <f t="shared" si="2"/>
        <v>9</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s="2">
        <f>'Missing values'!V262</f>
        <v>116.1</v>
      </c>
      <c r="W62">
        <v>115.8</v>
      </c>
      <c r="X62">
        <v>116.7</v>
      </c>
      <c r="Y62">
        <v>114.5</v>
      </c>
      <c r="Z62">
        <v>109.1</v>
      </c>
      <c r="AA62">
        <v>116.6</v>
      </c>
      <c r="AB62">
        <v>112.6</v>
      </c>
      <c r="AC62">
        <v>112.8</v>
      </c>
      <c r="AD62">
        <v>113.7</v>
      </c>
      <c r="AE62">
        <v>120.9</v>
      </c>
    </row>
    <row r="63" spans="1:31" x14ac:dyDescent="0.3">
      <c r="A63" t="s">
        <v>30</v>
      </c>
      <c r="B63">
        <v>2014</v>
      </c>
      <c r="C63" t="s">
        <v>38</v>
      </c>
      <c r="D63">
        <f t="shared" si="2"/>
        <v>9</v>
      </c>
      <c r="E63">
        <v>122.9</v>
      </c>
      <c r="F63">
        <v>123.5</v>
      </c>
      <c r="G63">
        <v>117.3</v>
      </c>
      <c r="H63">
        <v>122.7</v>
      </c>
      <c r="I63">
        <v>107.9</v>
      </c>
      <c r="J63">
        <v>127.3</v>
      </c>
      <c r="K63">
        <v>162.1</v>
      </c>
      <c r="L63">
        <v>115.6</v>
      </c>
      <c r="M63">
        <v>103.8</v>
      </c>
      <c r="N63">
        <v>117.6</v>
      </c>
      <c r="O63">
        <v>115.8</v>
      </c>
      <c r="P63">
        <v>123.8</v>
      </c>
      <c r="Q63">
        <v>125.8</v>
      </c>
      <c r="R63">
        <v>120.8</v>
      </c>
      <c r="S63">
        <v>120.7</v>
      </c>
      <c r="T63">
        <v>117.2</v>
      </c>
      <c r="U63">
        <v>120.1</v>
      </c>
      <c r="V63">
        <v>116.1</v>
      </c>
      <c r="W63">
        <v>114.3</v>
      </c>
      <c r="X63">
        <v>116.1</v>
      </c>
      <c r="Y63">
        <v>113.7</v>
      </c>
      <c r="Z63">
        <v>109.5</v>
      </c>
      <c r="AA63">
        <v>118.6</v>
      </c>
      <c r="AB63">
        <v>113.1</v>
      </c>
      <c r="AC63">
        <v>112</v>
      </c>
      <c r="AD63">
        <v>113.7</v>
      </c>
      <c r="AE63">
        <v>120.1</v>
      </c>
    </row>
    <row r="64" spans="1:31" x14ac:dyDescent="0.3">
      <c r="A64" t="s">
        <v>29</v>
      </c>
      <c r="B64">
        <v>2014</v>
      </c>
      <c r="C64" t="s">
        <v>38</v>
      </c>
      <c r="D64">
        <f t="shared" si="2"/>
        <v>9</v>
      </c>
      <c r="E64">
        <v>124.2</v>
      </c>
      <c r="F64">
        <v>125.4</v>
      </c>
      <c r="G64">
        <v>116.4</v>
      </c>
      <c r="H64">
        <v>122.7</v>
      </c>
      <c r="I64">
        <v>103.5</v>
      </c>
      <c r="J64">
        <v>124.5</v>
      </c>
      <c r="K64">
        <v>168.6</v>
      </c>
      <c r="L64">
        <v>116.9</v>
      </c>
      <c r="M64">
        <v>101.9</v>
      </c>
      <c r="N64">
        <v>122.9</v>
      </c>
      <c r="O64">
        <v>114.8</v>
      </c>
      <c r="P64">
        <v>125.2</v>
      </c>
      <c r="Q64">
        <v>126.7</v>
      </c>
      <c r="R64">
        <v>124.3</v>
      </c>
      <c r="S64">
        <v>119.2</v>
      </c>
      <c r="T64">
        <v>114.5</v>
      </c>
      <c r="U64">
        <v>118.4</v>
      </c>
      <c r="V64">
        <v>116.1</v>
      </c>
      <c r="W64">
        <v>111.8</v>
      </c>
      <c r="X64">
        <v>115.5</v>
      </c>
      <c r="Y64">
        <v>112.3</v>
      </c>
      <c r="Z64">
        <v>110</v>
      </c>
      <c r="AA64">
        <v>120</v>
      </c>
      <c r="AB64">
        <v>113.4</v>
      </c>
      <c r="AC64">
        <v>111.2</v>
      </c>
      <c r="AD64">
        <v>113.6</v>
      </c>
      <c r="AE64">
        <v>119.2</v>
      </c>
    </row>
    <row r="65" spans="1:31" x14ac:dyDescent="0.3">
      <c r="A65" t="s">
        <v>27</v>
      </c>
      <c r="B65">
        <v>2014</v>
      </c>
      <c r="C65" t="s">
        <v>39</v>
      </c>
      <c r="D65">
        <f t="shared" si="2"/>
        <v>10</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s="2">
        <f>'Missing values'!V292</f>
        <v>116.7</v>
      </c>
      <c r="W65">
        <v>116.4</v>
      </c>
      <c r="X65">
        <v>117.5</v>
      </c>
      <c r="Y65">
        <v>115.3</v>
      </c>
      <c r="Z65">
        <v>109.3</v>
      </c>
      <c r="AA65">
        <v>116.9</v>
      </c>
      <c r="AB65">
        <v>113</v>
      </c>
      <c r="AC65">
        <v>112.6</v>
      </c>
      <c r="AD65">
        <v>114</v>
      </c>
      <c r="AE65">
        <v>121</v>
      </c>
    </row>
    <row r="66" spans="1:31" x14ac:dyDescent="0.3">
      <c r="A66" t="s">
        <v>30</v>
      </c>
      <c r="B66">
        <v>2014</v>
      </c>
      <c r="C66" t="s">
        <v>39</v>
      </c>
      <c r="D66">
        <f t="shared" si="2"/>
        <v>10</v>
      </c>
      <c r="E66">
        <v>123.2</v>
      </c>
      <c r="F66">
        <v>123.8</v>
      </c>
      <c r="G66">
        <v>118.1</v>
      </c>
      <c r="H66">
        <v>123.2</v>
      </c>
      <c r="I66">
        <v>107.9</v>
      </c>
      <c r="J66">
        <v>126.4</v>
      </c>
      <c r="K66">
        <v>156.80000000000001</v>
      </c>
      <c r="L66">
        <v>116.1</v>
      </c>
      <c r="M66">
        <v>103.1</v>
      </c>
      <c r="N66">
        <v>118.1</v>
      </c>
      <c r="O66">
        <v>116.1</v>
      </c>
      <c r="P66">
        <v>124.5</v>
      </c>
      <c r="Q66">
        <v>125.4</v>
      </c>
      <c r="R66">
        <v>121.1</v>
      </c>
      <c r="S66">
        <v>121.5</v>
      </c>
      <c r="T66">
        <v>118.1</v>
      </c>
      <c r="U66">
        <v>121</v>
      </c>
      <c r="V66">
        <v>116.7</v>
      </c>
      <c r="W66">
        <v>114.7</v>
      </c>
      <c r="X66">
        <v>116.7</v>
      </c>
      <c r="Y66">
        <v>114.3</v>
      </c>
      <c r="Z66">
        <v>109.6</v>
      </c>
      <c r="AA66">
        <v>118.8</v>
      </c>
      <c r="AB66">
        <v>113.3</v>
      </c>
      <c r="AC66">
        <v>111.8</v>
      </c>
      <c r="AD66">
        <v>113.9</v>
      </c>
      <c r="AE66">
        <v>120.1</v>
      </c>
    </row>
    <row r="67" spans="1:31" x14ac:dyDescent="0.3">
      <c r="A67" t="s">
        <v>29</v>
      </c>
      <c r="B67">
        <v>2014</v>
      </c>
      <c r="C67" t="s">
        <v>39</v>
      </c>
      <c r="D67">
        <f t="shared" si="2"/>
        <v>10</v>
      </c>
      <c r="E67">
        <v>124.6</v>
      </c>
      <c r="F67">
        <v>126.1</v>
      </c>
      <c r="G67">
        <v>117.8</v>
      </c>
      <c r="H67">
        <v>123.1</v>
      </c>
      <c r="I67">
        <v>103.5</v>
      </c>
      <c r="J67">
        <v>123.5</v>
      </c>
      <c r="K67">
        <v>159.6</v>
      </c>
      <c r="L67">
        <v>117.4</v>
      </c>
      <c r="M67">
        <v>101.2</v>
      </c>
      <c r="N67">
        <v>123.8</v>
      </c>
      <c r="O67">
        <v>115.2</v>
      </c>
      <c r="P67">
        <v>125.9</v>
      </c>
      <c r="Q67">
        <v>125.8</v>
      </c>
      <c r="R67">
        <v>124.3</v>
      </c>
      <c r="S67">
        <v>119.6</v>
      </c>
      <c r="T67">
        <v>114.9</v>
      </c>
      <c r="U67">
        <v>118.9</v>
      </c>
      <c r="V67">
        <v>116.7</v>
      </c>
      <c r="W67">
        <v>112</v>
      </c>
      <c r="X67">
        <v>115.8</v>
      </c>
      <c r="Y67">
        <v>112.6</v>
      </c>
      <c r="Z67">
        <v>110.1</v>
      </c>
      <c r="AA67">
        <v>120.2</v>
      </c>
      <c r="AB67">
        <v>113.6</v>
      </c>
      <c r="AC67">
        <v>111</v>
      </c>
      <c r="AD67">
        <v>113.7</v>
      </c>
      <c r="AE67">
        <v>119.1</v>
      </c>
    </row>
    <row r="68" spans="1:31" x14ac:dyDescent="0.3">
      <c r="A68" t="s">
        <v>27</v>
      </c>
      <c r="B68">
        <v>2014</v>
      </c>
      <c r="C68" t="s">
        <v>41</v>
      </c>
      <c r="D68">
        <f t="shared" si="2"/>
        <v>11</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s="2">
        <f>'Missing values'!V322</f>
        <v>117.1</v>
      </c>
      <c r="W68">
        <v>117.3</v>
      </c>
      <c r="X68">
        <v>118.1</v>
      </c>
      <c r="Y68">
        <v>115.9</v>
      </c>
      <c r="Z68">
        <v>108.8</v>
      </c>
      <c r="AA68">
        <v>117.2</v>
      </c>
      <c r="AB68">
        <v>113.3</v>
      </c>
      <c r="AC68">
        <v>112</v>
      </c>
      <c r="AD68">
        <v>114.1</v>
      </c>
      <c r="AE68">
        <v>121.1</v>
      </c>
    </row>
    <row r="69" spans="1:31" x14ac:dyDescent="0.3">
      <c r="A69" t="s">
        <v>30</v>
      </c>
      <c r="B69">
        <v>2014</v>
      </c>
      <c r="C69" t="s">
        <v>41</v>
      </c>
      <c r="D69">
        <f t="shared" si="2"/>
        <v>11</v>
      </c>
      <c r="E69">
        <v>123.3</v>
      </c>
      <c r="F69">
        <v>123.7</v>
      </c>
      <c r="G69">
        <v>121</v>
      </c>
      <c r="H69">
        <v>124.2</v>
      </c>
      <c r="I69">
        <v>107.8</v>
      </c>
      <c r="J69">
        <v>125.7</v>
      </c>
      <c r="K69">
        <v>152.4</v>
      </c>
      <c r="L69">
        <v>117.2</v>
      </c>
      <c r="M69">
        <v>102.1</v>
      </c>
      <c r="N69">
        <v>118.7</v>
      </c>
      <c r="O69">
        <v>116.4</v>
      </c>
      <c r="P69">
        <v>125.6</v>
      </c>
      <c r="Q69">
        <v>125.1</v>
      </c>
      <c r="R69">
        <v>122.1</v>
      </c>
      <c r="S69">
        <v>122.1</v>
      </c>
      <c r="T69">
        <v>118.4</v>
      </c>
      <c r="U69">
        <v>121.6</v>
      </c>
      <c r="V69">
        <v>117.1</v>
      </c>
      <c r="W69">
        <v>115.5</v>
      </c>
      <c r="X69">
        <v>117.3</v>
      </c>
      <c r="Y69">
        <v>114.8</v>
      </c>
      <c r="Z69">
        <v>109.1</v>
      </c>
      <c r="AA69">
        <v>119</v>
      </c>
      <c r="AB69">
        <v>113.7</v>
      </c>
      <c r="AC69">
        <v>110.8</v>
      </c>
      <c r="AD69">
        <v>113.8</v>
      </c>
      <c r="AE69">
        <v>120.1</v>
      </c>
    </row>
    <row r="70" spans="1:31" x14ac:dyDescent="0.3">
      <c r="A70" t="s">
        <v>29</v>
      </c>
      <c r="B70">
        <v>2014</v>
      </c>
      <c r="C70" t="s">
        <v>41</v>
      </c>
      <c r="D70">
        <f t="shared" si="2"/>
        <v>11</v>
      </c>
      <c r="E70">
        <v>124.5</v>
      </c>
      <c r="F70">
        <v>125.6</v>
      </c>
      <c r="G70">
        <v>122.7</v>
      </c>
      <c r="H70">
        <v>124.6</v>
      </c>
      <c r="I70">
        <v>103.2</v>
      </c>
      <c r="J70">
        <v>122.2</v>
      </c>
      <c r="K70">
        <v>153.19999999999999</v>
      </c>
      <c r="L70">
        <v>119.3</v>
      </c>
      <c r="M70">
        <v>99.8</v>
      </c>
      <c r="N70">
        <v>124.6</v>
      </c>
      <c r="O70">
        <v>115.8</v>
      </c>
      <c r="P70">
        <v>126.9</v>
      </c>
      <c r="Q70">
        <v>125.4</v>
      </c>
      <c r="R70">
        <v>125.8</v>
      </c>
      <c r="S70">
        <v>120.3</v>
      </c>
      <c r="T70">
        <v>115.4</v>
      </c>
      <c r="U70">
        <v>119.5</v>
      </c>
      <c r="V70">
        <v>117.1</v>
      </c>
      <c r="W70">
        <v>112.6</v>
      </c>
      <c r="X70">
        <v>116.4</v>
      </c>
      <c r="Y70">
        <v>113</v>
      </c>
      <c r="Z70">
        <v>109.6</v>
      </c>
      <c r="AA70">
        <v>120.3</v>
      </c>
      <c r="AB70">
        <v>114</v>
      </c>
      <c r="AC70">
        <v>109.7</v>
      </c>
      <c r="AD70">
        <v>113.4</v>
      </c>
      <c r="AE70">
        <v>119</v>
      </c>
    </row>
    <row r="71" spans="1:31" x14ac:dyDescent="0.3">
      <c r="A71" t="s">
        <v>27</v>
      </c>
      <c r="B71">
        <v>2014</v>
      </c>
      <c r="C71" t="s">
        <v>42</v>
      </c>
      <c r="D71">
        <f t="shared" si="2"/>
        <v>12</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s="2">
        <f>'Missing values'!V352</f>
        <v>116.5</v>
      </c>
      <c r="W71">
        <v>117.4</v>
      </c>
      <c r="X71">
        <v>118.2</v>
      </c>
      <c r="Y71">
        <v>116.2</v>
      </c>
      <c r="Z71">
        <v>109.4</v>
      </c>
      <c r="AA71">
        <v>117.7</v>
      </c>
      <c r="AB71">
        <v>113.3</v>
      </c>
      <c r="AC71">
        <v>111.5</v>
      </c>
      <c r="AD71">
        <v>114.2</v>
      </c>
      <c r="AE71">
        <v>120.3</v>
      </c>
    </row>
    <row r="72" spans="1:31" x14ac:dyDescent="0.3">
      <c r="A72" t="s">
        <v>30</v>
      </c>
      <c r="B72">
        <v>2014</v>
      </c>
      <c r="C72" t="s">
        <v>42</v>
      </c>
      <c r="D72">
        <f t="shared" si="2"/>
        <v>12</v>
      </c>
      <c r="E72">
        <v>122.9</v>
      </c>
      <c r="F72">
        <v>123.2</v>
      </c>
      <c r="G72">
        <v>123.5</v>
      </c>
      <c r="H72">
        <v>124.5</v>
      </c>
      <c r="I72">
        <v>107.6</v>
      </c>
      <c r="J72">
        <v>125.7</v>
      </c>
      <c r="K72">
        <v>140.5</v>
      </c>
      <c r="L72">
        <v>117.6</v>
      </c>
      <c r="M72">
        <v>100.6</v>
      </c>
      <c r="N72">
        <v>119.1</v>
      </c>
      <c r="O72">
        <v>116.8</v>
      </c>
      <c r="P72">
        <v>126.1</v>
      </c>
      <c r="Q72">
        <v>123.6</v>
      </c>
      <c r="R72">
        <v>123</v>
      </c>
      <c r="S72">
        <v>122.6</v>
      </c>
      <c r="T72">
        <v>118.6</v>
      </c>
      <c r="U72">
        <v>122</v>
      </c>
      <c r="V72">
        <v>116.5</v>
      </c>
      <c r="W72">
        <v>115.7</v>
      </c>
      <c r="X72">
        <v>117.5</v>
      </c>
      <c r="Y72">
        <v>115.1</v>
      </c>
      <c r="Z72">
        <v>109.8</v>
      </c>
      <c r="AA72">
        <v>119.5</v>
      </c>
      <c r="AB72">
        <v>113.9</v>
      </c>
      <c r="AC72">
        <v>110.1</v>
      </c>
      <c r="AD72">
        <v>113.8</v>
      </c>
      <c r="AE72">
        <v>119.4</v>
      </c>
    </row>
    <row r="73" spans="1:31" x14ac:dyDescent="0.3">
      <c r="A73" t="s">
        <v>29</v>
      </c>
      <c r="B73">
        <v>2014</v>
      </c>
      <c r="C73" t="s">
        <v>42</v>
      </c>
      <c r="D73">
        <f t="shared" si="2"/>
        <v>12</v>
      </c>
      <c r="E73">
        <v>124</v>
      </c>
      <c r="F73">
        <v>124.7</v>
      </c>
      <c r="G73">
        <v>126.3</v>
      </c>
      <c r="H73">
        <v>124.9</v>
      </c>
      <c r="I73">
        <v>103</v>
      </c>
      <c r="J73">
        <v>122.3</v>
      </c>
      <c r="K73">
        <v>141</v>
      </c>
      <c r="L73">
        <v>120.1</v>
      </c>
      <c r="M73">
        <v>97.8</v>
      </c>
      <c r="N73">
        <v>125.4</v>
      </c>
      <c r="O73">
        <v>116.1</v>
      </c>
      <c r="P73">
        <v>127.6</v>
      </c>
      <c r="Q73">
        <v>124</v>
      </c>
      <c r="R73">
        <v>126.4</v>
      </c>
      <c r="S73">
        <v>120.7</v>
      </c>
      <c r="T73">
        <v>115.8</v>
      </c>
      <c r="U73">
        <v>120</v>
      </c>
      <c r="V73">
        <v>116.5</v>
      </c>
      <c r="W73">
        <v>113</v>
      </c>
      <c r="X73">
        <v>116.8</v>
      </c>
      <c r="Y73">
        <v>113.2</v>
      </c>
      <c r="Z73">
        <v>110.4</v>
      </c>
      <c r="AA73">
        <v>120.7</v>
      </c>
      <c r="AB73">
        <v>114.3</v>
      </c>
      <c r="AC73">
        <v>108.8</v>
      </c>
      <c r="AD73">
        <v>113.4</v>
      </c>
      <c r="AE73">
        <v>118.4</v>
      </c>
    </row>
    <row r="74" spans="1:31" x14ac:dyDescent="0.3">
      <c r="A74" t="s">
        <v>27</v>
      </c>
      <c r="B74">
        <v>2015</v>
      </c>
      <c r="C74" t="s">
        <v>28</v>
      </c>
      <c r="D74">
        <f t="shared" si="2"/>
        <v>1</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s="2">
        <f>'Missing values'!V13</f>
        <v>117.3</v>
      </c>
      <c r="W74">
        <v>118.4</v>
      </c>
      <c r="X74">
        <v>118.9</v>
      </c>
      <c r="Y74">
        <v>116.6</v>
      </c>
      <c r="Z74">
        <v>110.2</v>
      </c>
      <c r="AA74">
        <v>118.2</v>
      </c>
      <c r="AB74">
        <v>114</v>
      </c>
      <c r="AC74">
        <v>111</v>
      </c>
      <c r="AD74">
        <v>114.5</v>
      </c>
      <c r="AE74">
        <v>120.3</v>
      </c>
    </row>
    <row r="75" spans="1:31" x14ac:dyDescent="0.3">
      <c r="A75" t="s">
        <v>30</v>
      </c>
      <c r="B75">
        <v>2015</v>
      </c>
      <c r="C75" t="s">
        <v>28</v>
      </c>
      <c r="D75">
        <f t="shared" si="2"/>
        <v>1</v>
      </c>
      <c r="E75">
        <v>123.4</v>
      </c>
      <c r="F75">
        <v>123.9</v>
      </c>
      <c r="G75">
        <v>123.8</v>
      </c>
      <c r="H75">
        <v>125</v>
      </c>
      <c r="I75">
        <v>108.5</v>
      </c>
      <c r="J75">
        <v>126.2</v>
      </c>
      <c r="K75">
        <v>133</v>
      </c>
      <c r="L75">
        <v>119.1</v>
      </c>
      <c r="M75">
        <v>99</v>
      </c>
      <c r="N75">
        <v>120.3</v>
      </c>
      <c r="O75">
        <v>117.3</v>
      </c>
      <c r="P75">
        <v>126.7</v>
      </c>
      <c r="Q75">
        <v>123.1</v>
      </c>
      <c r="R75">
        <v>124</v>
      </c>
      <c r="S75">
        <v>123.1</v>
      </c>
      <c r="T75">
        <v>119.3</v>
      </c>
      <c r="U75">
        <v>122.5</v>
      </c>
      <c r="V75">
        <v>117.3</v>
      </c>
      <c r="W75">
        <v>116.5</v>
      </c>
      <c r="X75">
        <v>118.1</v>
      </c>
      <c r="Y75">
        <v>115.5</v>
      </c>
      <c r="Z75">
        <v>110.7</v>
      </c>
      <c r="AA75">
        <v>119.7</v>
      </c>
      <c r="AB75">
        <v>114.3</v>
      </c>
      <c r="AC75">
        <v>109.4</v>
      </c>
      <c r="AD75">
        <v>114</v>
      </c>
      <c r="AE75">
        <v>119.5</v>
      </c>
    </row>
    <row r="76" spans="1:31" x14ac:dyDescent="0.3">
      <c r="A76" t="s">
        <v>29</v>
      </c>
      <c r="B76">
        <v>2015</v>
      </c>
      <c r="C76" t="s">
        <v>28</v>
      </c>
      <c r="D76">
        <f t="shared" si="2"/>
        <v>1</v>
      </c>
      <c r="E76">
        <v>124</v>
      </c>
      <c r="F76">
        <v>125.5</v>
      </c>
      <c r="G76">
        <v>126.6</v>
      </c>
      <c r="H76">
        <v>125.2</v>
      </c>
      <c r="I76">
        <v>104.3</v>
      </c>
      <c r="J76">
        <v>121.3</v>
      </c>
      <c r="K76">
        <v>134.4</v>
      </c>
      <c r="L76">
        <v>122.9</v>
      </c>
      <c r="M76">
        <v>96.1</v>
      </c>
      <c r="N76">
        <v>126.6</v>
      </c>
      <c r="O76">
        <v>116.5</v>
      </c>
      <c r="P76">
        <v>128</v>
      </c>
      <c r="Q76">
        <v>123.5</v>
      </c>
      <c r="R76">
        <v>127.4</v>
      </c>
      <c r="S76">
        <v>121</v>
      </c>
      <c r="T76">
        <v>116.1</v>
      </c>
      <c r="U76">
        <v>120.2</v>
      </c>
      <c r="V76">
        <v>117.3</v>
      </c>
      <c r="W76">
        <v>113.4</v>
      </c>
      <c r="X76">
        <v>117.2</v>
      </c>
      <c r="Y76">
        <v>113.7</v>
      </c>
      <c r="Z76">
        <v>111.4</v>
      </c>
      <c r="AA76">
        <v>120.8</v>
      </c>
      <c r="AB76">
        <v>114.6</v>
      </c>
      <c r="AC76">
        <v>107.9</v>
      </c>
      <c r="AD76">
        <v>113.4</v>
      </c>
      <c r="AE76">
        <v>118.5</v>
      </c>
    </row>
    <row r="77" spans="1:31" x14ac:dyDescent="0.3">
      <c r="A77" t="s">
        <v>27</v>
      </c>
      <c r="B77">
        <v>2015</v>
      </c>
      <c r="C77" t="s">
        <v>31</v>
      </c>
      <c r="D77">
        <f t="shared" si="2"/>
        <v>2</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s="2">
        <f>'Missing values'!V46</f>
        <v>118.1</v>
      </c>
      <c r="W77">
        <v>120</v>
      </c>
      <c r="X77">
        <v>119.6</v>
      </c>
      <c r="Y77">
        <v>117.7</v>
      </c>
      <c r="Z77">
        <v>110.8</v>
      </c>
      <c r="AA77">
        <v>118.7</v>
      </c>
      <c r="AB77">
        <v>114.8</v>
      </c>
      <c r="AC77">
        <v>110.9</v>
      </c>
      <c r="AD77">
        <v>115</v>
      </c>
      <c r="AE77">
        <v>120.6</v>
      </c>
    </row>
    <row r="78" spans="1:31" x14ac:dyDescent="0.3">
      <c r="A78" t="s">
        <v>30</v>
      </c>
      <c r="B78">
        <v>2015</v>
      </c>
      <c r="C78" t="s">
        <v>31</v>
      </c>
      <c r="D78">
        <f t="shared" si="2"/>
        <v>2</v>
      </c>
      <c r="E78">
        <v>123.7</v>
      </c>
      <c r="F78">
        <v>125.1</v>
      </c>
      <c r="G78">
        <v>121.1</v>
      </c>
      <c r="H78">
        <v>125.7</v>
      </c>
      <c r="I78">
        <v>109.1</v>
      </c>
      <c r="J78">
        <v>125.8</v>
      </c>
      <c r="K78">
        <v>129.4</v>
      </c>
      <c r="L78">
        <v>120.9</v>
      </c>
      <c r="M78">
        <v>98.3</v>
      </c>
      <c r="N78">
        <v>121.6</v>
      </c>
      <c r="O78">
        <v>118</v>
      </c>
      <c r="P78">
        <v>127.6</v>
      </c>
      <c r="Q78">
        <v>123.1</v>
      </c>
      <c r="R78">
        <v>125.2</v>
      </c>
      <c r="S78">
        <v>123.8</v>
      </c>
      <c r="T78">
        <v>120.1</v>
      </c>
      <c r="U78">
        <v>123.3</v>
      </c>
      <c r="V78">
        <v>118.1</v>
      </c>
      <c r="W78">
        <v>117.7</v>
      </c>
      <c r="X78">
        <v>118.7</v>
      </c>
      <c r="Y78">
        <v>116.3</v>
      </c>
      <c r="Z78">
        <v>111.2</v>
      </c>
      <c r="AA78">
        <v>119.7</v>
      </c>
      <c r="AB78">
        <v>114.9</v>
      </c>
      <c r="AC78">
        <v>108.7</v>
      </c>
      <c r="AD78">
        <v>114.1</v>
      </c>
      <c r="AE78">
        <v>119.7</v>
      </c>
    </row>
    <row r="79" spans="1:31" x14ac:dyDescent="0.3">
      <c r="A79" t="s">
        <v>29</v>
      </c>
      <c r="B79">
        <v>2015</v>
      </c>
      <c r="C79" t="s">
        <v>31</v>
      </c>
      <c r="D79">
        <f t="shared" si="2"/>
        <v>2</v>
      </c>
      <c r="E79">
        <v>124.3</v>
      </c>
      <c r="F79">
        <v>126.5</v>
      </c>
      <c r="G79">
        <v>119.5</v>
      </c>
      <c r="H79">
        <v>125.6</v>
      </c>
      <c r="I79">
        <v>104.9</v>
      </c>
      <c r="J79">
        <v>121.6</v>
      </c>
      <c r="K79">
        <v>131.80000000000001</v>
      </c>
      <c r="L79">
        <v>125.1</v>
      </c>
      <c r="M79">
        <v>95</v>
      </c>
      <c r="N79">
        <v>127.7</v>
      </c>
      <c r="O79">
        <v>116.8</v>
      </c>
      <c r="P79">
        <v>128.6</v>
      </c>
      <c r="Q79">
        <v>123.7</v>
      </c>
      <c r="R79">
        <v>128.1</v>
      </c>
      <c r="S79">
        <v>121.3</v>
      </c>
      <c r="T79">
        <v>116.5</v>
      </c>
      <c r="U79">
        <v>120.6</v>
      </c>
      <c r="V79">
        <v>118.1</v>
      </c>
      <c r="W79">
        <v>114</v>
      </c>
      <c r="X79">
        <v>117.7</v>
      </c>
      <c r="Y79">
        <v>114.1</v>
      </c>
      <c r="Z79">
        <v>111.7</v>
      </c>
      <c r="AA79">
        <v>120.4</v>
      </c>
      <c r="AB79">
        <v>114.9</v>
      </c>
      <c r="AC79">
        <v>106.8</v>
      </c>
      <c r="AD79">
        <v>113.2</v>
      </c>
      <c r="AE79">
        <v>118.7</v>
      </c>
    </row>
    <row r="80" spans="1:31" x14ac:dyDescent="0.3">
      <c r="A80" t="s">
        <v>27</v>
      </c>
      <c r="B80">
        <v>2015</v>
      </c>
      <c r="C80" t="s">
        <v>32</v>
      </c>
      <c r="D80">
        <f t="shared" si="2"/>
        <v>3</v>
      </c>
      <c r="E80">
        <v>123.3</v>
      </c>
      <c r="F80">
        <v>124.7</v>
      </c>
      <c r="G80">
        <v>118.9</v>
      </c>
      <c r="H80">
        <v>126</v>
      </c>
      <c r="I80">
        <v>111.8</v>
      </c>
      <c r="J80">
        <v>130.9</v>
      </c>
      <c r="K80">
        <v>128</v>
      </c>
      <c r="L80">
        <v>119.9</v>
      </c>
      <c r="M80">
        <v>98.9</v>
      </c>
      <c r="N80">
        <v>119.4</v>
      </c>
      <c r="O80">
        <v>118.9</v>
      </c>
      <c r="P80">
        <v>127.7</v>
      </c>
      <c r="Q80">
        <v>123.1</v>
      </c>
      <c r="R80">
        <v>124.7</v>
      </c>
      <c r="S80">
        <v>126</v>
      </c>
      <c r="T80">
        <v>122.9</v>
      </c>
      <c r="U80">
        <v>125.5</v>
      </c>
      <c r="V80" s="2">
        <f>'Missing values'!V79</f>
        <v>118.6</v>
      </c>
      <c r="W80">
        <v>120.6</v>
      </c>
      <c r="X80">
        <v>120.2</v>
      </c>
      <c r="Y80">
        <v>118.2</v>
      </c>
      <c r="Z80">
        <v>110.8</v>
      </c>
      <c r="AA80">
        <v>119.4</v>
      </c>
      <c r="AB80">
        <v>115.5</v>
      </c>
      <c r="AC80">
        <v>111.6</v>
      </c>
      <c r="AD80">
        <v>115.5</v>
      </c>
      <c r="AE80">
        <v>121.1</v>
      </c>
    </row>
    <row r="81" spans="1:31" x14ac:dyDescent="0.3">
      <c r="A81" t="s">
        <v>30</v>
      </c>
      <c r="B81">
        <v>2015</v>
      </c>
      <c r="C81" t="s">
        <v>32</v>
      </c>
      <c r="D81">
        <f t="shared" si="2"/>
        <v>3</v>
      </c>
      <c r="E81">
        <v>123.5</v>
      </c>
      <c r="F81">
        <v>125.4</v>
      </c>
      <c r="G81">
        <v>116.8</v>
      </c>
      <c r="H81">
        <v>126</v>
      </c>
      <c r="I81">
        <v>109.2</v>
      </c>
      <c r="J81">
        <v>127.6</v>
      </c>
      <c r="K81">
        <v>129.19999999999999</v>
      </c>
      <c r="L81">
        <v>122.4</v>
      </c>
      <c r="M81">
        <v>97</v>
      </c>
      <c r="N81">
        <v>122.1</v>
      </c>
      <c r="O81">
        <v>118.1</v>
      </c>
      <c r="P81">
        <v>128.4</v>
      </c>
      <c r="Q81">
        <v>123.4</v>
      </c>
      <c r="R81">
        <v>125.8</v>
      </c>
      <c r="S81">
        <v>124.3</v>
      </c>
      <c r="T81">
        <v>120.4</v>
      </c>
      <c r="U81">
        <v>123.7</v>
      </c>
      <c r="V81">
        <v>118.6</v>
      </c>
      <c r="W81">
        <v>118.3</v>
      </c>
      <c r="X81">
        <v>119.2</v>
      </c>
      <c r="Y81">
        <v>116.7</v>
      </c>
      <c r="Z81">
        <v>111</v>
      </c>
      <c r="AA81">
        <v>120.1</v>
      </c>
      <c r="AB81">
        <v>115.4</v>
      </c>
      <c r="AC81">
        <v>109.9</v>
      </c>
      <c r="AD81">
        <v>114.7</v>
      </c>
      <c r="AE81">
        <v>120.2</v>
      </c>
    </row>
    <row r="82" spans="1:31" x14ac:dyDescent="0.3">
      <c r="A82" t="s">
        <v>29</v>
      </c>
      <c r="B82">
        <v>2015</v>
      </c>
      <c r="C82" t="s">
        <v>32</v>
      </c>
      <c r="D82">
        <f t="shared" si="2"/>
        <v>3</v>
      </c>
      <c r="E82">
        <v>124</v>
      </c>
      <c r="F82">
        <v>126.7</v>
      </c>
      <c r="G82">
        <v>113.5</v>
      </c>
      <c r="H82">
        <v>125.9</v>
      </c>
      <c r="I82">
        <v>104.8</v>
      </c>
      <c r="J82">
        <v>123.8</v>
      </c>
      <c r="K82">
        <v>131.4</v>
      </c>
      <c r="L82">
        <v>127.2</v>
      </c>
      <c r="M82">
        <v>93.2</v>
      </c>
      <c r="N82">
        <v>127.4</v>
      </c>
      <c r="O82">
        <v>117</v>
      </c>
      <c r="P82">
        <v>129.19999999999999</v>
      </c>
      <c r="Q82">
        <v>123.9</v>
      </c>
      <c r="R82">
        <v>128.80000000000001</v>
      </c>
      <c r="S82">
        <v>121.7</v>
      </c>
      <c r="T82">
        <v>116.9</v>
      </c>
      <c r="U82">
        <v>120.9</v>
      </c>
      <c r="V82">
        <v>118.6</v>
      </c>
      <c r="W82">
        <v>114.4</v>
      </c>
      <c r="X82">
        <v>118</v>
      </c>
      <c r="Y82">
        <v>114.3</v>
      </c>
      <c r="Z82">
        <v>111.3</v>
      </c>
      <c r="AA82">
        <v>120.6</v>
      </c>
      <c r="AB82">
        <v>115.4</v>
      </c>
      <c r="AC82">
        <v>108.4</v>
      </c>
      <c r="AD82">
        <v>113.8</v>
      </c>
      <c r="AE82">
        <v>119.1</v>
      </c>
    </row>
    <row r="83" spans="1:31" x14ac:dyDescent="0.3">
      <c r="A83" t="s">
        <v>27</v>
      </c>
      <c r="B83">
        <v>2015</v>
      </c>
      <c r="C83" t="s">
        <v>33</v>
      </c>
      <c r="D83">
        <f t="shared" si="2"/>
        <v>4</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s="2">
        <f>'Missing values'!V112</f>
        <v>119.2</v>
      </c>
      <c r="W83">
        <v>121.2</v>
      </c>
      <c r="X83">
        <v>120.9</v>
      </c>
      <c r="Y83">
        <v>118.6</v>
      </c>
      <c r="Z83">
        <v>111.6</v>
      </c>
      <c r="AA83">
        <v>119.9</v>
      </c>
      <c r="AB83">
        <v>116.2</v>
      </c>
      <c r="AC83">
        <v>111.9</v>
      </c>
      <c r="AD83">
        <v>116</v>
      </c>
      <c r="AE83">
        <v>121.5</v>
      </c>
    </row>
    <row r="84" spans="1:31" x14ac:dyDescent="0.3">
      <c r="A84" t="s">
        <v>30</v>
      </c>
      <c r="B84">
        <v>2015</v>
      </c>
      <c r="C84" t="s">
        <v>33</v>
      </c>
      <c r="D84">
        <f t="shared" si="2"/>
        <v>4</v>
      </c>
      <c r="E84">
        <v>123.5</v>
      </c>
      <c r="F84">
        <v>126.4</v>
      </c>
      <c r="G84">
        <v>114.4</v>
      </c>
      <c r="H84">
        <v>126.6</v>
      </c>
      <c r="I84">
        <v>109.2</v>
      </c>
      <c r="J84">
        <v>132.5</v>
      </c>
      <c r="K84">
        <v>128.6</v>
      </c>
      <c r="L84">
        <v>124.8</v>
      </c>
      <c r="M84">
        <v>95.7</v>
      </c>
      <c r="N84">
        <v>122.4</v>
      </c>
      <c r="O84">
        <v>118.5</v>
      </c>
      <c r="P84">
        <v>129.1</v>
      </c>
      <c r="Q84">
        <v>124</v>
      </c>
      <c r="R84">
        <v>126.9</v>
      </c>
      <c r="S84">
        <v>124.7</v>
      </c>
      <c r="T84">
        <v>120.8</v>
      </c>
      <c r="U84">
        <v>124.1</v>
      </c>
      <c r="V84">
        <v>119.2</v>
      </c>
      <c r="W84">
        <v>118.7</v>
      </c>
      <c r="X84">
        <v>119.7</v>
      </c>
      <c r="Y84">
        <v>117.1</v>
      </c>
      <c r="Z84">
        <v>111.7</v>
      </c>
      <c r="AA84">
        <v>121</v>
      </c>
      <c r="AB84">
        <v>115.9</v>
      </c>
      <c r="AC84">
        <v>110.1</v>
      </c>
      <c r="AD84">
        <v>115.1</v>
      </c>
      <c r="AE84">
        <v>120.7</v>
      </c>
    </row>
    <row r="85" spans="1:31" x14ac:dyDescent="0.3">
      <c r="A85" t="s">
        <v>29</v>
      </c>
      <c r="B85">
        <v>2015</v>
      </c>
      <c r="C85" t="s">
        <v>33</v>
      </c>
      <c r="D85">
        <f t="shared" si="2"/>
        <v>4</v>
      </c>
      <c r="E85">
        <v>123.8</v>
      </c>
      <c r="F85">
        <v>128.19999999999999</v>
      </c>
      <c r="G85">
        <v>110</v>
      </c>
      <c r="H85">
        <v>126.3</v>
      </c>
      <c r="I85">
        <v>104.5</v>
      </c>
      <c r="J85">
        <v>130.6</v>
      </c>
      <c r="K85">
        <v>130.80000000000001</v>
      </c>
      <c r="L85">
        <v>131.30000000000001</v>
      </c>
      <c r="M85">
        <v>91.6</v>
      </c>
      <c r="N85">
        <v>127.7</v>
      </c>
      <c r="O85">
        <v>117.2</v>
      </c>
      <c r="P85">
        <v>129.5</v>
      </c>
      <c r="Q85">
        <v>124.6</v>
      </c>
      <c r="R85">
        <v>130.1</v>
      </c>
      <c r="S85">
        <v>122.1</v>
      </c>
      <c r="T85">
        <v>117.2</v>
      </c>
      <c r="U85">
        <v>121.3</v>
      </c>
      <c r="V85">
        <v>119.2</v>
      </c>
      <c r="W85">
        <v>114.7</v>
      </c>
      <c r="X85">
        <v>118.4</v>
      </c>
      <c r="Y85">
        <v>114.6</v>
      </c>
      <c r="Z85">
        <v>111.8</v>
      </c>
      <c r="AA85">
        <v>121.7</v>
      </c>
      <c r="AB85">
        <v>115.6</v>
      </c>
      <c r="AC85">
        <v>108.4</v>
      </c>
      <c r="AD85">
        <v>114.2</v>
      </c>
      <c r="AE85">
        <v>119.7</v>
      </c>
    </row>
    <row r="86" spans="1:31" x14ac:dyDescent="0.3">
      <c r="A86" t="s">
        <v>27</v>
      </c>
      <c r="B86">
        <v>2015</v>
      </c>
      <c r="C86" t="s">
        <v>34</v>
      </c>
      <c r="D86">
        <f t="shared" si="2"/>
        <v>5</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s="2">
        <f>'Missing values'!V142</f>
        <v>119.6</v>
      </c>
      <c r="W86">
        <v>121.9</v>
      </c>
      <c r="X86">
        <v>121.5</v>
      </c>
      <c r="Y86">
        <v>119.4</v>
      </c>
      <c r="Z86">
        <v>112.3</v>
      </c>
      <c r="AA86">
        <v>120.5</v>
      </c>
      <c r="AB86">
        <v>116.7</v>
      </c>
      <c r="AC86">
        <v>113.3</v>
      </c>
      <c r="AD86">
        <v>116.9</v>
      </c>
      <c r="AE86">
        <v>122.4</v>
      </c>
    </row>
    <row r="87" spans="1:31" x14ac:dyDescent="0.3">
      <c r="A87" t="s">
        <v>30</v>
      </c>
      <c r="B87">
        <v>2015</v>
      </c>
      <c r="C87" t="s">
        <v>34</v>
      </c>
      <c r="D87">
        <f t="shared" si="2"/>
        <v>5</v>
      </c>
      <c r="E87">
        <v>123.6</v>
      </c>
      <c r="F87">
        <v>128</v>
      </c>
      <c r="G87">
        <v>115</v>
      </c>
      <c r="H87">
        <v>127.3</v>
      </c>
      <c r="I87">
        <v>109.8</v>
      </c>
      <c r="J87">
        <v>132.6</v>
      </c>
      <c r="K87">
        <v>130.9</v>
      </c>
      <c r="L87">
        <v>130.5</v>
      </c>
      <c r="M87">
        <v>95.3</v>
      </c>
      <c r="N87">
        <v>123.4</v>
      </c>
      <c r="O87">
        <v>119.2</v>
      </c>
      <c r="P87">
        <v>129.80000000000001</v>
      </c>
      <c r="Q87">
        <v>125</v>
      </c>
      <c r="R87">
        <v>127.9</v>
      </c>
      <c r="S87">
        <v>125.4</v>
      </c>
      <c r="T87">
        <v>121.3</v>
      </c>
      <c r="U87">
        <v>124.7</v>
      </c>
      <c r="V87">
        <v>119.6</v>
      </c>
      <c r="W87">
        <v>119.2</v>
      </c>
      <c r="X87">
        <v>120.2</v>
      </c>
      <c r="Y87">
        <v>117.7</v>
      </c>
      <c r="Z87">
        <v>112.3</v>
      </c>
      <c r="AA87">
        <v>121.4</v>
      </c>
      <c r="AB87">
        <v>116.3</v>
      </c>
      <c r="AC87">
        <v>112</v>
      </c>
      <c r="AD87">
        <v>116.1</v>
      </c>
      <c r="AE87">
        <v>121.6</v>
      </c>
    </row>
    <row r="88" spans="1:31" x14ac:dyDescent="0.3">
      <c r="A88" t="s">
        <v>29</v>
      </c>
      <c r="B88">
        <v>2015</v>
      </c>
      <c r="C88" t="s">
        <v>34</v>
      </c>
      <c r="D88">
        <f t="shared" si="2"/>
        <v>5</v>
      </c>
      <c r="E88">
        <v>123.8</v>
      </c>
      <c r="F88">
        <v>129.69999999999999</v>
      </c>
      <c r="G88">
        <v>111.3</v>
      </c>
      <c r="H88">
        <v>126.6</v>
      </c>
      <c r="I88">
        <v>105.2</v>
      </c>
      <c r="J88">
        <v>130.80000000000001</v>
      </c>
      <c r="K88">
        <v>135.6</v>
      </c>
      <c r="L88">
        <v>142.6</v>
      </c>
      <c r="M88">
        <v>90.8</v>
      </c>
      <c r="N88">
        <v>128.80000000000001</v>
      </c>
      <c r="O88">
        <v>117.7</v>
      </c>
      <c r="P88">
        <v>129.9</v>
      </c>
      <c r="Q88">
        <v>126.1</v>
      </c>
      <c r="R88">
        <v>131.30000000000001</v>
      </c>
      <c r="S88">
        <v>122.4</v>
      </c>
      <c r="T88">
        <v>117.4</v>
      </c>
      <c r="U88">
        <v>121.6</v>
      </c>
      <c r="V88">
        <v>119.6</v>
      </c>
      <c r="W88">
        <v>114.9</v>
      </c>
      <c r="X88">
        <v>118.7</v>
      </c>
      <c r="Y88">
        <v>114.9</v>
      </c>
      <c r="Z88">
        <v>112.4</v>
      </c>
      <c r="AA88">
        <v>122</v>
      </c>
      <c r="AB88">
        <v>116</v>
      </c>
      <c r="AC88">
        <v>110.8</v>
      </c>
      <c r="AD88">
        <v>115.2</v>
      </c>
      <c r="AE88">
        <v>120.7</v>
      </c>
    </row>
    <row r="89" spans="1:31" x14ac:dyDescent="0.3">
      <c r="A89" t="s">
        <v>27</v>
      </c>
      <c r="B89">
        <v>2015</v>
      </c>
      <c r="C89" t="s">
        <v>35</v>
      </c>
      <c r="D89">
        <f t="shared" si="2"/>
        <v>6</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s="2">
        <f>'Missing values'!V175</f>
        <v>119</v>
      </c>
      <c r="W89">
        <v>122.6</v>
      </c>
      <c r="X89">
        <v>122.8</v>
      </c>
      <c r="Y89">
        <v>120.4</v>
      </c>
      <c r="Z89">
        <v>113</v>
      </c>
      <c r="AA89">
        <v>122</v>
      </c>
      <c r="AB89">
        <v>117.9</v>
      </c>
      <c r="AC89">
        <v>114.2</v>
      </c>
      <c r="AD89">
        <v>117.9</v>
      </c>
      <c r="AE89">
        <v>124.1</v>
      </c>
    </row>
    <row r="90" spans="1:31" x14ac:dyDescent="0.3">
      <c r="A90" t="s">
        <v>30</v>
      </c>
      <c r="B90">
        <v>2015</v>
      </c>
      <c r="C90" t="s">
        <v>35</v>
      </c>
      <c r="D90">
        <f t="shared" si="2"/>
        <v>6</v>
      </c>
      <c r="E90">
        <v>123.9</v>
      </c>
      <c r="F90">
        <v>131.80000000000001</v>
      </c>
      <c r="G90">
        <v>121.6</v>
      </c>
      <c r="H90">
        <v>128.19999999999999</v>
      </c>
      <c r="I90">
        <v>111.1</v>
      </c>
      <c r="J90">
        <v>132.80000000000001</v>
      </c>
      <c r="K90">
        <v>139.1</v>
      </c>
      <c r="L90">
        <v>137.4</v>
      </c>
      <c r="M90">
        <v>94.1</v>
      </c>
      <c r="N90">
        <v>125.5</v>
      </c>
      <c r="O90">
        <v>119.8</v>
      </c>
      <c r="P90">
        <v>130.9</v>
      </c>
      <c r="Q90">
        <v>127.3</v>
      </c>
      <c r="R90">
        <v>129.19999999999999</v>
      </c>
      <c r="S90">
        <v>126.4</v>
      </c>
      <c r="T90">
        <v>122</v>
      </c>
      <c r="U90">
        <v>125.7</v>
      </c>
      <c r="V90">
        <v>119</v>
      </c>
      <c r="W90">
        <v>119.8</v>
      </c>
      <c r="X90">
        <v>121.1</v>
      </c>
      <c r="Y90">
        <v>118.5</v>
      </c>
      <c r="Z90">
        <v>112.8</v>
      </c>
      <c r="AA90">
        <v>123.1</v>
      </c>
      <c r="AB90">
        <v>116.9</v>
      </c>
      <c r="AC90">
        <v>112.9</v>
      </c>
      <c r="AD90">
        <v>117</v>
      </c>
      <c r="AE90">
        <v>123</v>
      </c>
    </row>
    <row r="91" spans="1:31" x14ac:dyDescent="0.3">
      <c r="A91" t="s">
        <v>29</v>
      </c>
      <c r="B91">
        <v>2015</v>
      </c>
      <c r="C91" t="s">
        <v>35</v>
      </c>
      <c r="D91">
        <f t="shared" si="2"/>
        <v>6</v>
      </c>
      <c r="E91">
        <v>123.6</v>
      </c>
      <c r="F91">
        <v>134.4</v>
      </c>
      <c r="G91">
        <v>120.9</v>
      </c>
      <c r="H91">
        <v>127.3</v>
      </c>
      <c r="I91">
        <v>106</v>
      </c>
      <c r="J91">
        <v>132.30000000000001</v>
      </c>
      <c r="K91">
        <v>146.69999999999999</v>
      </c>
      <c r="L91">
        <v>148.1</v>
      </c>
      <c r="M91">
        <v>89.8</v>
      </c>
      <c r="N91">
        <v>130.5</v>
      </c>
      <c r="O91">
        <v>118</v>
      </c>
      <c r="P91">
        <v>130.5</v>
      </c>
      <c r="Q91">
        <v>128.5</v>
      </c>
      <c r="R91">
        <v>132.1</v>
      </c>
      <c r="S91">
        <v>123.2</v>
      </c>
      <c r="T91">
        <v>117.6</v>
      </c>
      <c r="U91">
        <v>122.3</v>
      </c>
      <c r="V91">
        <v>119</v>
      </c>
      <c r="W91">
        <v>115.1</v>
      </c>
      <c r="X91">
        <v>119.2</v>
      </c>
      <c r="Y91">
        <v>115.4</v>
      </c>
      <c r="Z91">
        <v>112.5</v>
      </c>
      <c r="AA91">
        <v>123.8</v>
      </c>
      <c r="AB91">
        <v>116.2</v>
      </c>
      <c r="AC91">
        <v>111.7</v>
      </c>
      <c r="AD91">
        <v>116</v>
      </c>
      <c r="AE91">
        <v>121.7</v>
      </c>
    </row>
    <row r="92" spans="1:31" x14ac:dyDescent="0.3">
      <c r="A92" t="s">
        <v>27</v>
      </c>
      <c r="B92">
        <v>2015</v>
      </c>
      <c r="C92" t="s">
        <v>36</v>
      </c>
      <c r="D92">
        <f t="shared" si="2"/>
        <v>7</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s="2">
        <f>'Missing values'!V205</f>
        <v>119.9</v>
      </c>
      <c r="W92">
        <v>123</v>
      </c>
      <c r="X92">
        <v>123</v>
      </c>
      <c r="Y92">
        <v>120.8</v>
      </c>
      <c r="Z92">
        <v>112.7</v>
      </c>
      <c r="AA92">
        <v>122.9</v>
      </c>
      <c r="AB92">
        <v>118</v>
      </c>
      <c r="AC92">
        <v>114.1</v>
      </c>
      <c r="AD92">
        <v>118.1</v>
      </c>
      <c r="AE92">
        <v>124.7</v>
      </c>
    </row>
    <row r="93" spans="1:31" x14ac:dyDescent="0.3">
      <c r="A93" t="s">
        <v>30</v>
      </c>
      <c r="B93">
        <v>2015</v>
      </c>
      <c r="C93" t="s">
        <v>36</v>
      </c>
      <c r="D93">
        <f t="shared" si="2"/>
        <v>7</v>
      </c>
      <c r="E93">
        <v>123.7</v>
      </c>
      <c r="F93">
        <v>132.5</v>
      </c>
      <c r="G93">
        <v>121</v>
      </c>
      <c r="H93">
        <v>128.30000000000001</v>
      </c>
      <c r="I93">
        <v>110.9</v>
      </c>
      <c r="J93">
        <v>133.1</v>
      </c>
      <c r="K93">
        <v>145.1</v>
      </c>
      <c r="L93">
        <v>139.1</v>
      </c>
      <c r="M93">
        <v>91.3</v>
      </c>
      <c r="N93">
        <v>126.1</v>
      </c>
      <c r="O93">
        <v>119.9</v>
      </c>
      <c r="P93">
        <v>131.4</v>
      </c>
      <c r="Q93">
        <v>128.19999999999999</v>
      </c>
      <c r="R93">
        <v>130.4</v>
      </c>
      <c r="S93">
        <v>126.7</v>
      </c>
      <c r="T93">
        <v>122.3</v>
      </c>
      <c r="U93">
        <v>126.1</v>
      </c>
      <c r="V93">
        <v>119.9</v>
      </c>
      <c r="W93">
        <v>120.1</v>
      </c>
      <c r="X93">
        <v>121.3</v>
      </c>
      <c r="Y93">
        <v>119</v>
      </c>
      <c r="Z93">
        <v>112.3</v>
      </c>
      <c r="AA93">
        <v>124.4</v>
      </c>
      <c r="AB93">
        <v>117.2</v>
      </c>
      <c r="AC93">
        <v>112.7</v>
      </c>
      <c r="AD93">
        <v>117.2</v>
      </c>
      <c r="AE93">
        <v>123.6</v>
      </c>
    </row>
    <row r="94" spans="1:31" x14ac:dyDescent="0.3">
      <c r="A94" t="s">
        <v>29</v>
      </c>
      <c r="B94">
        <v>2015</v>
      </c>
      <c r="C94" t="s">
        <v>36</v>
      </c>
      <c r="D94">
        <f t="shared" si="2"/>
        <v>7</v>
      </c>
      <c r="E94">
        <v>123.2</v>
      </c>
      <c r="F94">
        <v>134.30000000000001</v>
      </c>
      <c r="G94">
        <v>119.5</v>
      </c>
      <c r="H94">
        <v>127.7</v>
      </c>
      <c r="I94">
        <v>106.3</v>
      </c>
      <c r="J94">
        <v>132.80000000000001</v>
      </c>
      <c r="K94">
        <v>153.5</v>
      </c>
      <c r="L94">
        <v>149.5</v>
      </c>
      <c r="M94">
        <v>85.7</v>
      </c>
      <c r="N94">
        <v>131.5</v>
      </c>
      <c r="O94">
        <v>118.3</v>
      </c>
      <c r="P94">
        <v>131.1</v>
      </c>
      <c r="Q94">
        <v>129.5</v>
      </c>
      <c r="R94">
        <v>133.1</v>
      </c>
      <c r="S94">
        <v>123.5</v>
      </c>
      <c r="T94">
        <v>117.9</v>
      </c>
      <c r="U94">
        <v>122.7</v>
      </c>
      <c r="V94">
        <v>119.9</v>
      </c>
      <c r="W94">
        <v>115.3</v>
      </c>
      <c r="X94">
        <v>119.5</v>
      </c>
      <c r="Y94">
        <v>116</v>
      </c>
      <c r="Z94">
        <v>111.7</v>
      </c>
      <c r="AA94">
        <v>125.4</v>
      </c>
      <c r="AB94">
        <v>116.6</v>
      </c>
      <c r="AC94">
        <v>111.5</v>
      </c>
      <c r="AD94">
        <v>116.3</v>
      </c>
      <c r="AE94">
        <v>122.4</v>
      </c>
    </row>
    <row r="95" spans="1:31" x14ac:dyDescent="0.3">
      <c r="A95" t="s">
        <v>27</v>
      </c>
      <c r="B95">
        <v>2015</v>
      </c>
      <c r="C95" t="s">
        <v>37</v>
      </c>
      <c r="D95">
        <f t="shared" si="2"/>
        <v>8</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s="2">
        <f>'Missing values'!V235</f>
        <v>120.9</v>
      </c>
      <c r="W95">
        <v>123.8</v>
      </c>
      <c r="X95">
        <v>123.7</v>
      </c>
      <c r="Y95">
        <v>121.1</v>
      </c>
      <c r="Z95">
        <v>112.5</v>
      </c>
      <c r="AA95">
        <v>123.6</v>
      </c>
      <c r="AB95">
        <v>118.5</v>
      </c>
      <c r="AC95">
        <v>113.6</v>
      </c>
      <c r="AD95">
        <v>118.2</v>
      </c>
      <c r="AE95">
        <v>126.1</v>
      </c>
    </row>
    <row r="96" spans="1:31" x14ac:dyDescent="0.3">
      <c r="A96" t="s">
        <v>30</v>
      </c>
      <c r="B96">
        <v>2015</v>
      </c>
      <c r="C96" t="s">
        <v>37</v>
      </c>
      <c r="D96">
        <f t="shared" si="2"/>
        <v>8</v>
      </c>
      <c r="E96">
        <v>124.2</v>
      </c>
      <c r="F96">
        <v>131.4</v>
      </c>
      <c r="G96">
        <v>120.1</v>
      </c>
      <c r="H96">
        <v>128.5</v>
      </c>
      <c r="I96">
        <v>111.4</v>
      </c>
      <c r="J96">
        <v>132.30000000000001</v>
      </c>
      <c r="K96">
        <v>157.6</v>
      </c>
      <c r="L96">
        <v>144</v>
      </c>
      <c r="M96">
        <v>90.5</v>
      </c>
      <c r="N96">
        <v>126.8</v>
      </c>
      <c r="O96">
        <v>120.4</v>
      </c>
      <c r="P96">
        <v>132.1</v>
      </c>
      <c r="Q96">
        <v>130.30000000000001</v>
      </c>
      <c r="R96">
        <v>131.19999999999999</v>
      </c>
      <c r="S96">
        <v>127.2</v>
      </c>
      <c r="T96">
        <v>122.9</v>
      </c>
      <c r="U96">
        <v>126.6</v>
      </c>
      <c r="V96">
        <v>120.9</v>
      </c>
      <c r="W96">
        <v>120.6</v>
      </c>
      <c r="X96">
        <v>122</v>
      </c>
      <c r="Y96">
        <v>119.4</v>
      </c>
      <c r="Z96">
        <v>112.3</v>
      </c>
      <c r="AA96">
        <v>125.1</v>
      </c>
      <c r="AB96">
        <v>117.8</v>
      </c>
      <c r="AC96">
        <v>111.7</v>
      </c>
      <c r="AD96">
        <v>117.2</v>
      </c>
      <c r="AE96">
        <v>124.8</v>
      </c>
    </row>
    <row r="97" spans="1:31" x14ac:dyDescent="0.3">
      <c r="A97" t="s">
        <v>29</v>
      </c>
      <c r="B97">
        <v>2015</v>
      </c>
      <c r="C97" t="s">
        <v>37</v>
      </c>
      <c r="D97">
        <f t="shared" si="2"/>
        <v>8</v>
      </c>
      <c r="E97">
        <v>123.1</v>
      </c>
      <c r="F97">
        <v>131.69999999999999</v>
      </c>
      <c r="G97">
        <v>118.1</v>
      </c>
      <c r="H97">
        <v>128</v>
      </c>
      <c r="I97">
        <v>106.8</v>
      </c>
      <c r="J97">
        <v>130.1</v>
      </c>
      <c r="K97">
        <v>165.5</v>
      </c>
      <c r="L97">
        <v>156</v>
      </c>
      <c r="M97">
        <v>85.3</v>
      </c>
      <c r="N97">
        <v>132.69999999999999</v>
      </c>
      <c r="O97">
        <v>118.8</v>
      </c>
      <c r="P97">
        <v>131.69999999999999</v>
      </c>
      <c r="Q97">
        <v>131.1</v>
      </c>
      <c r="R97">
        <v>134.19999999999999</v>
      </c>
      <c r="S97">
        <v>123.7</v>
      </c>
      <c r="T97">
        <v>118.2</v>
      </c>
      <c r="U97">
        <v>122.9</v>
      </c>
      <c r="V97">
        <v>120.9</v>
      </c>
      <c r="W97">
        <v>115.3</v>
      </c>
      <c r="X97">
        <v>120</v>
      </c>
      <c r="Y97">
        <v>116.6</v>
      </c>
      <c r="Z97">
        <v>112</v>
      </c>
      <c r="AA97">
        <v>126.2</v>
      </c>
      <c r="AB97">
        <v>117.2</v>
      </c>
      <c r="AC97">
        <v>109.9</v>
      </c>
      <c r="AD97">
        <v>116.2</v>
      </c>
      <c r="AE97">
        <v>123.2</v>
      </c>
    </row>
    <row r="98" spans="1:31" x14ac:dyDescent="0.3">
      <c r="A98" t="s">
        <v>27</v>
      </c>
      <c r="B98">
        <v>2015</v>
      </c>
      <c r="C98" t="s">
        <v>38</v>
      </c>
      <c r="D98">
        <f t="shared" si="2"/>
        <v>9</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s="2">
        <f>'Missing values'!V265</f>
        <v>121.6</v>
      </c>
      <c r="W98">
        <v>123.7</v>
      </c>
      <c r="X98">
        <v>124.5</v>
      </c>
      <c r="Y98">
        <v>121.4</v>
      </c>
      <c r="Z98">
        <v>113.7</v>
      </c>
      <c r="AA98">
        <v>124.5</v>
      </c>
      <c r="AB98">
        <v>119.6</v>
      </c>
      <c r="AC98">
        <v>113.8</v>
      </c>
      <c r="AD98">
        <v>118.8</v>
      </c>
      <c r="AE98">
        <v>127</v>
      </c>
    </row>
    <row r="99" spans="1:31" x14ac:dyDescent="0.3">
      <c r="A99" t="s">
        <v>30</v>
      </c>
      <c r="B99">
        <v>2015</v>
      </c>
      <c r="C99" t="s">
        <v>38</v>
      </c>
      <c r="D99">
        <f t="shared" si="2"/>
        <v>9</v>
      </c>
      <c r="E99">
        <v>124.6</v>
      </c>
      <c r="F99">
        <v>130.4</v>
      </c>
      <c r="G99">
        <v>118.7</v>
      </c>
      <c r="H99">
        <v>128.9</v>
      </c>
      <c r="I99">
        <v>111.9</v>
      </c>
      <c r="J99">
        <v>128.4</v>
      </c>
      <c r="K99">
        <v>162.19999999999999</v>
      </c>
      <c r="L99">
        <v>150</v>
      </c>
      <c r="M99">
        <v>90.4</v>
      </c>
      <c r="N99">
        <v>128.4</v>
      </c>
      <c r="O99">
        <v>120.7</v>
      </c>
      <c r="P99">
        <v>132.5</v>
      </c>
      <c r="Q99">
        <v>131.19999999999999</v>
      </c>
      <c r="R99">
        <v>132</v>
      </c>
      <c r="S99">
        <v>127.9</v>
      </c>
      <c r="T99">
        <v>123.4</v>
      </c>
      <c r="U99">
        <v>127.2</v>
      </c>
      <c r="V99">
        <v>121.6</v>
      </c>
      <c r="W99">
        <v>120.4</v>
      </c>
      <c r="X99">
        <v>122.6</v>
      </c>
      <c r="Y99">
        <v>119.8</v>
      </c>
      <c r="Z99">
        <v>113.4</v>
      </c>
      <c r="AA99">
        <v>125.7</v>
      </c>
      <c r="AB99">
        <v>118.3</v>
      </c>
      <c r="AC99">
        <v>111.3</v>
      </c>
      <c r="AD99">
        <v>117.5</v>
      </c>
      <c r="AE99">
        <v>125.4</v>
      </c>
    </row>
    <row r="100" spans="1:31" x14ac:dyDescent="0.3">
      <c r="A100" t="s">
        <v>29</v>
      </c>
      <c r="B100">
        <v>2015</v>
      </c>
      <c r="C100" t="s">
        <v>38</v>
      </c>
      <c r="D100">
        <f t="shared" si="2"/>
        <v>9</v>
      </c>
      <c r="E100">
        <v>123.4</v>
      </c>
      <c r="F100">
        <v>129</v>
      </c>
      <c r="G100">
        <v>115.6</v>
      </c>
      <c r="H100">
        <v>128.30000000000001</v>
      </c>
      <c r="I100">
        <v>107</v>
      </c>
      <c r="J100">
        <v>124</v>
      </c>
      <c r="K100">
        <v>168.5</v>
      </c>
      <c r="L100">
        <v>165.4</v>
      </c>
      <c r="M100">
        <v>86.3</v>
      </c>
      <c r="N100">
        <v>134.4</v>
      </c>
      <c r="O100">
        <v>119.1</v>
      </c>
      <c r="P100">
        <v>132.30000000000001</v>
      </c>
      <c r="Q100">
        <v>131.5</v>
      </c>
      <c r="R100">
        <v>134.69999999999999</v>
      </c>
      <c r="S100">
        <v>124</v>
      </c>
      <c r="T100">
        <v>118.6</v>
      </c>
      <c r="U100">
        <v>123.2</v>
      </c>
      <c r="V100">
        <v>121.6</v>
      </c>
      <c r="W100">
        <v>115.1</v>
      </c>
      <c r="X100">
        <v>120.4</v>
      </c>
      <c r="Y100">
        <v>117.1</v>
      </c>
      <c r="Z100">
        <v>112.9</v>
      </c>
      <c r="AA100">
        <v>126.5</v>
      </c>
      <c r="AB100">
        <v>117.3</v>
      </c>
      <c r="AC100">
        <v>109.1</v>
      </c>
      <c r="AD100">
        <v>116.2</v>
      </c>
      <c r="AE100">
        <v>123.5</v>
      </c>
    </row>
    <row r="101" spans="1:31" x14ac:dyDescent="0.3">
      <c r="A101" t="s">
        <v>27</v>
      </c>
      <c r="B101">
        <v>2015</v>
      </c>
      <c r="C101" t="s">
        <v>39</v>
      </c>
      <c r="D101">
        <f t="shared" si="2"/>
        <v>10</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s="2">
        <f>'Missing values'!V295</f>
        <v>122.4</v>
      </c>
      <c r="W101">
        <v>124.4</v>
      </c>
      <c r="X101">
        <v>125.1</v>
      </c>
      <c r="Y101">
        <v>122</v>
      </c>
      <c r="Z101">
        <v>114.2</v>
      </c>
      <c r="AA101">
        <v>125.1</v>
      </c>
      <c r="AB101">
        <v>120.1</v>
      </c>
      <c r="AC101">
        <v>113.8</v>
      </c>
      <c r="AD101">
        <v>119.2</v>
      </c>
      <c r="AE101">
        <v>127.7</v>
      </c>
    </row>
    <row r="102" spans="1:31" x14ac:dyDescent="0.3">
      <c r="A102" t="s">
        <v>30</v>
      </c>
      <c r="B102">
        <v>2015</v>
      </c>
      <c r="C102" t="s">
        <v>39</v>
      </c>
      <c r="D102">
        <f t="shared" si="2"/>
        <v>10</v>
      </c>
      <c r="E102">
        <v>125</v>
      </c>
      <c r="F102">
        <v>129.80000000000001</v>
      </c>
      <c r="G102">
        <v>118.9</v>
      </c>
      <c r="H102">
        <v>129.1</v>
      </c>
      <c r="I102">
        <v>113.3</v>
      </c>
      <c r="J102">
        <v>129</v>
      </c>
      <c r="K102">
        <v>160.4</v>
      </c>
      <c r="L102">
        <v>165.3</v>
      </c>
      <c r="M102">
        <v>92.3</v>
      </c>
      <c r="N102">
        <v>129.69999999999999</v>
      </c>
      <c r="O102">
        <v>121.1</v>
      </c>
      <c r="P102">
        <v>133</v>
      </c>
      <c r="Q102">
        <v>132.1</v>
      </c>
      <c r="R102">
        <v>132.5</v>
      </c>
      <c r="S102">
        <v>128.5</v>
      </c>
      <c r="T102">
        <v>123.8</v>
      </c>
      <c r="U102">
        <v>127.8</v>
      </c>
      <c r="V102">
        <v>122.4</v>
      </c>
      <c r="W102">
        <v>120.8</v>
      </c>
      <c r="X102">
        <v>123</v>
      </c>
      <c r="Y102">
        <v>120.4</v>
      </c>
      <c r="Z102">
        <v>113.9</v>
      </c>
      <c r="AA102">
        <v>125.9</v>
      </c>
      <c r="AB102">
        <v>118.7</v>
      </c>
      <c r="AC102">
        <v>111.4</v>
      </c>
      <c r="AD102">
        <v>117.9</v>
      </c>
      <c r="AE102">
        <v>126.1</v>
      </c>
    </row>
    <row r="103" spans="1:31" x14ac:dyDescent="0.3">
      <c r="A103" t="s">
        <v>29</v>
      </c>
      <c r="B103">
        <v>2015</v>
      </c>
      <c r="C103" t="s">
        <v>39</v>
      </c>
      <c r="D103">
        <f t="shared" si="2"/>
        <v>10</v>
      </c>
      <c r="E103">
        <v>123.6</v>
      </c>
      <c r="F103">
        <v>128.6</v>
      </c>
      <c r="G103">
        <v>115.9</v>
      </c>
      <c r="H103">
        <v>128.5</v>
      </c>
      <c r="I103">
        <v>109</v>
      </c>
      <c r="J103">
        <v>124.1</v>
      </c>
      <c r="K103">
        <v>165.8</v>
      </c>
      <c r="L103">
        <v>187.2</v>
      </c>
      <c r="M103">
        <v>89.4</v>
      </c>
      <c r="N103">
        <v>135.80000000000001</v>
      </c>
      <c r="O103">
        <v>119.4</v>
      </c>
      <c r="P103">
        <v>132.9</v>
      </c>
      <c r="Q103">
        <v>132.6</v>
      </c>
      <c r="R103">
        <v>135.30000000000001</v>
      </c>
      <c r="S103">
        <v>124.4</v>
      </c>
      <c r="T103">
        <v>118.8</v>
      </c>
      <c r="U103">
        <v>123.6</v>
      </c>
      <c r="V103">
        <v>122.4</v>
      </c>
      <c r="W103">
        <v>114.9</v>
      </c>
      <c r="X103">
        <v>120.7</v>
      </c>
      <c r="Y103">
        <v>117.7</v>
      </c>
      <c r="Z103">
        <v>113.5</v>
      </c>
      <c r="AA103">
        <v>126.5</v>
      </c>
      <c r="AB103">
        <v>117.7</v>
      </c>
      <c r="AC103">
        <v>109.3</v>
      </c>
      <c r="AD103">
        <v>116.5</v>
      </c>
      <c r="AE103">
        <v>124.2</v>
      </c>
    </row>
    <row r="104" spans="1:31" x14ac:dyDescent="0.3">
      <c r="A104" t="s">
        <v>27</v>
      </c>
      <c r="B104">
        <v>2015</v>
      </c>
      <c r="C104" t="s">
        <v>41</v>
      </c>
      <c r="D104">
        <f t="shared" si="2"/>
        <v>11</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s="2">
        <f>'Missing values'!V325</f>
        <v>122.9</v>
      </c>
      <c r="W104">
        <v>125.6</v>
      </c>
      <c r="X104">
        <v>125.6</v>
      </c>
      <c r="Y104">
        <v>122.6</v>
      </c>
      <c r="Z104">
        <v>114.2</v>
      </c>
      <c r="AA104">
        <v>125.8</v>
      </c>
      <c r="AB104">
        <v>120.9</v>
      </c>
      <c r="AC104">
        <v>114</v>
      </c>
      <c r="AD104">
        <v>119.6</v>
      </c>
      <c r="AE104">
        <v>128.30000000000001</v>
      </c>
    </row>
    <row r="105" spans="1:31" x14ac:dyDescent="0.3">
      <c r="A105" t="s">
        <v>30</v>
      </c>
      <c r="B105">
        <v>2015</v>
      </c>
      <c r="C105" t="s">
        <v>41</v>
      </c>
      <c r="D105">
        <f t="shared" si="2"/>
        <v>11</v>
      </c>
      <c r="E105">
        <v>125.4</v>
      </c>
      <c r="F105">
        <v>130.30000000000001</v>
      </c>
      <c r="G105">
        <v>121.6</v>
      </c>
      <c r="H105">
        <v>129.19999999999999</v>
      </c>
      <c r="I105">
        <v>114.9</v>
      </c>
      <c r="J105">
        <v>128.19999999999999</v>
      </c>
      <c r="K105">
        <v>158.4</v>
      </c>
      <c r="L105">
        <v>171.2</v>
      </c>
      <c r="M105">
        <v>93.3</v>
      </c>
      <c r="N105">
        <v>131.19999999999999</v>
      </c>
      <c r="O105">
        <v>121.7</v>
      </c>
      <c r="P105">
        <v>134</v>
      </c>
      <c r="Q105">
        <v>132.69999999999999</v>
      </c>
      <c r="R105">
        <v>133.6</v>
      </c>
      <c r="S105">
        <v>129.30000000000001</v>
      </c>
      <c r="T105">
        <v>124.5</v>
      </c>
      <c r="U105">
        <v>128.6</v>
      </c>
      <c r="V105">
        <v>122.9</v>
      </c>
      <c r="W105">
        <v>121.6</v>
      </c>
      <c r="X105">
        <v>123.4</v>
      </c>
      <c r="Y105">
        <v>120.9</v>
      </c>
      <c r="Z105">
        <v>113.8</v>
      </c>
      <c r="AA105">
        <v>126.3</v>
      </c>
      <c r="AB105">
        <v>119.2</v>
      </c>
      <c r="AC105">
        <v>111.5</v>
      </c>
      <c r="AD105">
        <v>118.1</v>
      </c>
      <c r="AE105">
        <v>126.6</v>
      </c>
    </row>
    <row r="106" spans="1:31" x14ac:dyDescent="0.3">
      <c r="A106" t="s">
        <v>29</v>
      </c>
      <c r="B106">
        <v>2015</v>
      </c>
      <c r="C106" t="s">
        <v>41</v>
      </c>
      <c r="D106">
        <f t="shared" si="2"/>
        <v>11</v>
      </c>
      <c r="E106">
        <v>124</v>
      </c>
      <c r="F106">
        <v>129.80000000000001</v>
      </c>
      <c r="G106">
        <v>121.5</v>
      </c>
      <c r="H106">
        <v>128.6</v>
      </c>
      <c r="I106">
        <v>110</v>
      </c>
      <c r="J106">
        <v>123.7</v>
      </c>
      <c r="K106">
        <v>164.6</v>
      </c>
      <c r="L106">
        <v>191.6</v>
      </c>
      <c r="M106">
        <v>90.8</v>
      </c>
      <c r="N106">
        <v>137.1</v>
      </c>
      <c r="O106">
        <v>119.8</v>
      </c>
      <c r="P106">
        <v>133.69999999999999</v>
      </c>
      <c r="Q106">
        <v>133.30000000000001</v>
      </c>
      <c r="R106">
        <v>137.6</v>
      </c>
      <c r="S106">
        <v>125</v>
      </c>
      <c r="T106">
        <v>119.3</v>
      </c>
      <c r="U106">
        <v>124.2</v>
      </c>
      <c r="V106">
        <v>122.9</v>
      </c>
      <c r="W106">
        <v>115.1</v>
      </c>
      <c r="X106">
        <v>121</v>
      </c>
      <c r="Y106">
        <v>118.1</v>
      </c>
      <c r="Z106">
        <v>113.3</v>
      </c>
      <c r="AA106">
        <v>126.6</v>
      </c>
      <c r="AB106">
        <v>117.9</v>
      </c>
      <c r="AC106">
        <v>109.3</v>
      </c>
      <c r="AD106">
        <v>116.6</v>
      </c>
      <c r="AE106">
        <v>124.6</v>
      </c>
    </row>
    <row r="107" spans="1:31" x14ac:dyDescent="0.3">
      <c r="A107" t="s">
        <v>27</v>
      </c>
      <c r="B107">
        <v>2015</v>
      </c>
      <c r="C107" t="s">
        <v>42</v>
      </c>
      <c r="D107">
        <f t="shared" si="2"/>
        <v>12</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s="2">
        <f>'Missing values'!V355</f>
        <v>122.4</v>
      </c>
      <c r="W107">
        <v>125.7</v>
      </c>
      <c r="X107">
        <v>126</v>
      </c>
      <c r="Y107">
        <v>123.1</v>
      </c>
      <c r="Z107">
        <v>114.1</v>
      </c>
      <c r="AA107">
        <v>125.6</v>
      </c>
      <c r="AB107">
        <v>121.6</v>
      </c>
      <c r="AC107">
        <v>114</v>
      </c>
      <c r="AD107">
        <v>119.8</v>
      </c>
      <c r="AE107">
        <v>127.9</v>
      </c>
    </row>
    <row r="108" spans="1:31" x14ac:dyDescent="0.3">
      <c r="A108" t="s">
        <v>30</v>
      </c>
      <c r="B108">
        <v>2015</v>
      </c>
      <c r="C108" t="s">
        <v>42</v>
      </c>
      <c r="D108">
        <f t="shared" si="2"/>
        <v>12</v>
      </c>
      <c r="E108">
        <v>125.7</v>
      </c>
      <c r="F108">
        <v>131.4</v>
      </c>
      <c r="G108">
        <v>124.8</v>
      </c>
      <c r="H108">
        <v>129.4</v>
      </c>
      <c r="I108">
        <v>115.3</v>
      </c>
      <c r="J108">
        <v>126.6</v>
      </c>
      <c r="K108">
        <v>146.69999999999999</v>
      </c>
      <c r="L108">
        <v>171.5</v>
      </c>
      <c r="M108">
        <v>94.5</v>
      </c>
      <c r="N108">
        <v>132.1</v>
      </c>
      <c r="O108">
        <v>122</v>
      </c>
      <c r="P108">
        <v>134.69999999999999</v>
      </c>
      <c r="Q108">
        <v>131.4</v>
      </c>
      <c r="R108">
        <v>134.5</v>
      </c>
      <c r="S108">
        <v>129.69999999999999</v>
      </c>
      <c r="T108">
        <v>124.8</v>
      </c>
      <c r="U108">
        <v>129</v>
      </c>
      <c r="V108">
        <v>122.4</v>
      </c>
      <c r="W108">
        <v>122</v>
      </c>
      <c r="X108">
        <v>123.6</v>
      </c>
      <c r="Y108">
        <v>121.4</v>
      </c>
      <c r="Z108">
        <v>113.7</v>
      </c>
      <c r="AA108">
        <v>126.2</v>
      </c>
      <c r="AB108">
        <v>119.6</v>
      </c>
      <c r="AC108">
        <v>111.5</v>
      </c>
      <c r="AD108">
        <v>118.3</v>
      </c>
      <c r="AE108">
        <v>126.1</v>
      </c>
    </row>
    <row r="109" spans="1:31" x14ac:dyDescent="0.3">
      <c r="A109" t="s">
        <v>29</v>
      </c>
      <c r="B109">
        <v>2015</v>
      </c>
      <c r="C109" t="s">
        <v>42</v>
      </c>
      <c r="D109">
        <f t="shared" si="2"/>
        <v>12</v>
      </c>
      <c r="E109">
        <v>124.3</v>
      </c>
      <c r="F109">
        <v>131.69999999999999</v>
      </c>
      <c r="G109">
        <v>127.1</v>
      </c>
      <c r="H109">
        <v>128.6</v>
      </c>
      <c r="I109">
        <v>110</v>
      </c>
      <c r="J109">
        <v>120.8</v>
      </c>
      <c r="K109">
        <v>149</v>
      </c>
      <c r="L109">
        <v>190.1</v>
      </c>
      <c r="M109">
        <v>92.7</v>
      </c>
      <c r="N109">
        <v>138.6</v>
      </c>
      <c r="O109">
        <v>120.2</v>
      </c>
      <c r="P109">
        <v>134.19999999999999</v>
      </c>
      <c r="Q109">
        <v>131.5</v>
      </c>
      <c r="R109">
        <v>138.19999999999999</v>
      </c>
      <c r="S109">
        <v>125.4</v>
      </c>
      <c r="T109">
        <v>119.5</v>
      </c>
      <c r="U109">
        <v>124.5</v>
      </c>
      <c r="V109">
        <v>122.4</v>
      </c>
      <c r="W109">
        <v>116</v>
      </c>
      <c r="X109">
        <v>121</v>
      </c>
      <c r="Y109">
        <v>118.6</v>
      </c>
      <c r="Z109">
        <v>113.2</v>
      </c>
      <c r="AA109">
        <v>126.6</v>
      </c>
      <c r="AB109">
        <v>118.1</v>
      </c>
      <c r="AC109">
        <v>109.3</v>
      </c>
      <c r="AD109">
        <v>116.7</v>
      </c>
      <c r="AE109">
        <v>124</v>
      </c>
    </row>
    <row r="110" spans="1:31" x14ac:dyDescent="0.3">
      <c r="A110" t="s">
        <v>27</v>
      </c>
      <c r="B110">
        <v>2016</v>
      </c>
      <c r="C110" t="s">
        <v>28</v>
      </c>
      <c r="D110">
        <f t="shared" ref="D110:D173" si="3">IF(C110="January",1,
IF(C110="february",2,
IF(C110="march",3,
IF(C110="april",4,
IF(C110="may",5,
IF(C110="june",6,
IF(C110="july",7,
IF(C110="august",8,
IF(C110="september",9,
IF(C110="october",10,
IF(C110="november",11,
IF(C110="december",12,
))))))))))))</f>
        <v>1</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s="2">
        <f>'Missing values'!V16</f>
        <v>123.4</v>
      </c>
      <c r="W110">
        <v>126.2</v>
      </c>
      <c r="X110">
        <v>126.6</v>
      </c>
      <c r="Y110">
        <v>123.7</v>
      </c>
      <c r="Z110">
        <v>114.9</v>
      </c>
      <c r="AA110">
        <v>126.2</v>
      </c>
      <c r="AB110">
        <v>121.4</v>
      </c>
      <c r="AC110">
        <v>113.6</v>
      </c>
      <c r="AD110">
        <v>120.1</v>
      </c>
      <c r="AE110">
        <v>128.1</v>
      </c>
    </row>
    <row r="111" spans="1:31" x14ac:dyDescent="0.3">
      <c r="A111" t="s">
        <v>30</v>
      </c>
      <c r="B111">
        <v>2016</v>
      </c>
      <c r="C111" t="s">
        <v>28</v>
      </c>
      <c r="D111">
        <f t="shared" si="3"/>
        <v>1</v>
      </c>
      <c r="E111">
        <v>126.1</v>
      </c>
      <c r="F111">
        <v>134.1</v>
      </c>
      <c r="G111">
        <v>128.6</v>
      </c>
      <c r="H111">
        <v>129.9</v>
      </c>
      <c r="I111">
        <v>115.5</v>
      </c>
      <c r="J111">
        <v>125.7</v>
      </c>
      <c r="K111">
        <v>141.5</v>
      </c>
      <c r="L111">
        <v>170.7</v>
      </c>
      <c r="M111">
        <v>97.4</v>
      </c>
      <c r="N111">
        <v>132.9</v>
      </c>
      <c r="O111">
        <v>122.7</v>
      </c>
      <c r="P111">
        <v>135.30000000000001</v>
      </c>
      <c r="Q111">
        <v>131.30000000000001</v>
      </c>
      <c r="R111">
        <v>135.19999999999999</v>
      </c>
      <c r="S111">
        <v>130.30000000000001</v>
      </c>
      <c r="T111">
        <v>125.1</v>
      </c>
      <c r="U111">
        <v>129.5</v>
      </c>
      <c r="V111">
        <v>123.4</v>
      </c>
      <c r="W111">
        <v>122.7</v>
      </c>
      <c r="X111">
        <v>124.2</v>
      </c>
      <c r="Y111">
        <v>122</v>
      </c>
      <c r="Z111">
        <v>114.5</v>
      </c>
      <c r="AA111">
        <v>126.3</v>
      </c>
      <c r="AB111">
        <v>119.8</v>
      </c>
      <c r="AC111">
        <v>111.1</v>
      </c>
      <c r="AD111">
        <v>118.5</v>
      </c>
      <c r="AE111">
        <v>126.3</v>
      </c>
    </row>
    <row r="112" spans="1:31" x14ac:dyDescent="0.3">
      <c r="A112" t="s">
        <v>29</v>
      </c>
      <c r="B112">
        <v>2016</v>
      </c>
      <c r="C112" t="s">
        <v>28</v>
      </c>
      <c r="D112">
        <f t="shared" si="3"/>
        <v>1</v>
      </c>
      <c r="E112">
        <v>124.7</v>
      </c>
      <c r="F112">
        <v>135.9</v>
      </c>
      <c r="G112">
        <v>132</v>
      </c>
      <c r="H112">
        <v>129.19999999999999</v>
      </c>
      <c r="I112">
        <v>109.7</v>
      </c>
      <c r="J112">
        <v>119</v>
      </c>
      <c r="K112">
        <v>144.1</v>
      </c>
      <c r="L112">
        <v>184.2</v>
      </c>
      <c r="M112">
        <v>96.7</v>
      </c>
      <c r="N112">
        <v>139.5</v>
      </c>
      <c r="O112">
        <v>120.5</v>
      </c>
      <c r="P112">
        <v>134.69999999999999</v>
      </c>
      <c r="Q112">
        <v>131.19999999999999</v>
      </c>
      <c r="R112">
        <v>139.5</v>
      </c>
      <c r="S112">
        <v>125.8</v>
      </c>
      <c r="T112">
        <v>119.8</v>
      </c>
      <c r="U112">
        <v>124.9</v>
      </c>
      <c r="V112">
        <v>123.4</v>
      </c>
      <c r="W112">
        <v>116.9</v>
      </c>
      <c r="X112">
        <v>121.6</v>
      </c>
      <c r="Y112">
        <v>119.1</v>
      </c>
      <c r="Z112">
        <v>114</v>
      </c>
      <c r="AA112">
        <v>126.4</v>
      </c>
      <c r="AB112">
        <v>118.5</v>
      </c>
      <c r="AC112">
        <v>108.9</v>
      </c>
      <c r="AD112">
        <v>116.8</v>
      </c>
      <c r="AE112">
        <v>124.2</v>
      </c>
    </row>
    <row r="113" spans="1:31" x14ac:dyDescent="0.3">
      <c r="A113" t="s">
        <v>27</v>
      </c>
      <c r="B113">
        <v>2016</v>
      </c>
      <c r="C113" t="s">
        <v>31</v>
      </c>
      <c r="D113">
        <f t="shared" si="3"/>
        <v>2</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s="2">
        <f>'Missing values'!V49</f>
        <v>124.4</v>
      </c>
      <c r="W113">
        <v>127.5</v>
      </c>
      <c r="X113">
        <v>127.1</v>
      </c>
      <c r="Y113">
        <v>124.3</v>
      </c>
      <c r="Z113">
        <v>116.8</v>
      </c>
      <c r="AA113">
        <v>127.1</v>
      </c>
      <c r="AB113">
        <v>122.3</v>
      </c>
      <c r="AC113">
        <v>113.9</v>
      </c>
      <c r="AD113">
        <v>120.9</v>
      </c>
      <c r="AE113">
        <v>127.9</v>
      </c>
    </row>
    <row r="114" spans="1:31" x14ac:dyDescent="0.3">
      <c r="A114" t="s">
        <v>30</v>
      </c>
      <c r="B114">
        <v>2016</v>
      </c>
      <c r="C114" t="s">
        <v>31</v>
      </c>
      <c r="D114">
        <f t="shared" si="3"/>
        <v>2</v>
      </c>
      <c r="E114">
        <v>126.4</v>
      </c>
      <c r="F114">
        <v>134.19999999999999</v>
      </c>
      <c r="G114">
        <v>128.69999999999999</v>
      </c>
      <c r="H114">
        <v>130.30000000000001</v>
      </c>
      <c r="I114">
        <v>114.8</v>
      </c>
      <c r="J114">
        <v>124.9</v>
      </c>
      <c r="K114">
        <v>130.30000000000001</v>
      </c>
      <c r="L114">
        <v>167.4</v>
      </c>
      <c r="M114">
        <v>98.8</v>
      </c>
      <c r="N114">
        <v>133.6</v>
      </c>
      <c r="O114">
        <v>123</v>
      </c>
      <c r="P114">
        <v>135.80000000000001</v>
      </c>
      <c r="Q114">
        <v>129.9</v>
      </c>
      <c r="R114">
        <v>135.9</v>
      </c>
      <c r="S114">
        <v>130.9</v>
      </c>
      <c r="T114">
        <v>125.8</v>
      </c>
      <c r="U114">
        <v>130.19999999999999</v>
      </c>
      <c r="V114">
        <v>124.4</v>
      </c>
      <c r="W114">
        <v>123.1</v>
      </c>
      <c r="X114">
        <v>124.6</v>
      </c>
      <c r="Y114">
        <v>122.5</v>
      </c>
      <c r="Z114">
        <v>116.6</v>
      </c>
      <c r="AA114">
        <v>126.6</v>
      </c>
      <c r="AB114">
        <v>120.3</v>
      </c>
      <c r="AC114">
        <v>111.4</v>
      </c>
      <c r="AD114">
        <v>119.1</v>
      </c>
      <c r="AE114">
        <v>126</v>
      </c>
    </row>
    <row r="115" spans="1:31" x14ac:dyDescent="0.3">
      <c r="A115" t="s">
        <v>29</v>
      </c>
      <c r="B115">
        <v>2016</v>
      </c>
      <c r="C115" t="s">
        <v>31</v>
      </c>
      <c r="D115">
        <f t="shared" si="3"/>
        <v>2</v>
      </c>
      <c r="E115">
        <v>124.8</v>
      </c>
      <c r="F115">
        <v>135.1</v>
      </c>
      <c r="G115">
        <v>130.30000000000001</v>
      </c>
      <c r="H115">
        <v>129.6</v>
      </c>
      <c r="I115">
        <v>108.4</v>
      </c>
      <c r="J115">
        <v>118.6</v>
      </c>
      <c r="K115">
        <v>129.19999999999999</v>
      </c>
      <c r="L115">
        <v>176.4</v>
      </c>
      <c r="M115">
        <v>99.1</v>
      </c>
      <c r="N115">
        <v>139.69999999999999</v>
      </c>
      <c r="O115">
        <v>120.6</v>
      </c>
      <c r="P115">
        <v>135.19999999999999</v>
      </c>
      <c r="Q115">
        <v>129.1</v>
      </c>
      <c r="R115">
        <v>140</v>
      </c>
      <c r="S115">
        <v>126.2</v>
      </c>
      <c r="T115">
        <v>120.1</v>
      </c>
      <c r="U115">
        <v>125.3</v>
      </c>
      <c r="V115">
        <v>124.4</v>
      </c>
      <c r="W115">
        <v>116</v>
      </c>
      <c r="X115">
        <v>121.8</v>
      </c>
      <c r="Y115">
        <v>119.5</v>
      </c>
      <c r="Z115">
        <v>116.2</v>
      </c>
      <c r="AA115">
        <v>126.3</v>
      </c>
      <c r="AB115">
        <v>118.8</v>
      </c>
      <c r="AC115">
        <v>109.1</v>
      </c>
      <c r="AD115">
        <v>117.2</v>
      </c>
      <c r="AE115">
        <v>123.8</v>
      </c>
    </row>
    <row r="116" spans="1:31" x14ac:dyDescent="0.3">
      <c r="A116" t="s">
        <v>27</v>
      </c>
      <c r="B116">
        <v>2016</v>
      </c>
      <c r="C116" t="s">
        <v>32</v>
      </c>
      <c r="D116">
        <f t="shared" si="3"/>
        <v>3</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s="2">
        <f>'Missing values'!V82</f>
        <v>124.9</v>
      </c>
      <c r="W116">
        <v>127</v>
      </c>
      <c r="X116">
        <v>127.7</v>
      </c>
      <c r="Y116">
        <v>124.8</v>
      </c>
      <c r="Z116">
        <v>117.4</v>
      </c>
      <c r="AA116">
        <v>127.5</v>
      </c>
      <c r="AB116">
        <v>122.5</v>
      </c>
      <c r="AC116">
        <v>113.6</v>
      </c>
      <c r="AD116">
        <v>121.1</v>
      </c>
      <c r="AE116">
        <v>128</v>
      </c>
    </row>
    <row r="117" spans="1:31" x14ac:dyDescent="0.3">
      <c r="A117" t="s">
        <v>30</v>
      </c>
      <c r="B117">
        <v>2016</v>
      </c>
      <c r="C117" t="s">
        <v>32</v>
      </c>
      <c r="D117">
        <f t="shared" si="3"/>
        <v>3</v>
      </c>
      <c r="E117">
        <v>126.5</v>
      </c>
      <c r="F117">
        <v>135.1</v>
      </c>
      <c r="G117">
        <v>124.6</v>
      </c>
      <c r="H117">
        <v>130.19999999999999</v>
      </c>
      <c r="I117">
        <v>114.5</v>
      </c>
      <c r="J117">
        <v>126.2</v>
      </c>
      <c r="K117">
        <v>129.80000000000001</v>
      </c>
      <c r="L117">
        <v>164.3</v>
      </c>
      <c r="M117">
        <v>100.9</v>
      </c>
      <c r="N117">
        <v>133.9</v>
      </c>
      <c r="O117">
        <v>123.1</v>
      </c>
      <c r="P117">
        <v>136.30000000000001</v>
      </c>
      <c r="Q117">
        <v>129.80000000000001</v>
      </c>
      <c r="R117">
        <v>136.5</v>
      </c>
      <c r="S117">
        <v>131.30000000000001</v>
      </c>
      <c r="T117">
        <v>126.1</v>
      </c>
      <c r="U117">
        <v>130.5</v>
      </c>
      <c r="V117">
        <v>124.9</v>
      </c>
      <c r="W117">
        <v>122.4</v>
      </c>
      <c r="X117">
        <v>125.1</v>
      </c>
      <c r="Y117">
        <v>122.9</v>
      </c>
      <c r="Z117">
        <v>117.3</v>
      </c>
      <c r="AA117">
        <v>126.9</v>
      </c>
      <c r="AB117">
        <v>120.6</v>
      </c>
      <c r="AC117">
        <v>110.9</v>
      </c>
      <c r="AD117">
        <v>119.3</v>
      </c>
      <c r="AE117">
        <v>126</v>
      </c>
    </row>
    <row r="118" spans="1:31" x14ac:dyDescent="0.3">
      <c r="A118" t="s">
        <v>29</v>
      </c>
      <c r="B118">
        <v>2016</v>
      </c>
      <c r="C118" t="s">
        <v>32</v>
      </c>
      <c r="D118">
        <f t="shared" si="3"/>
        <v>3</v>
      </c>
      <c r="E118">
        <v>124.8</v>
      </c>
      <c r="F118">
        <v>136.30000000000001</v>
      </c>
      <c r="G118">
        <v>123.7</v>
      </c>
      <c r="H118">
        <v>129.69999999999999</v>
      </c>
      <c r="I118">
        <v>107.9</v>
      </c>
      <c r="J118">
        <v>119.9</v>
      </c>
      <c r="K118">
        <v>128.1</v>
      </c>
      <c r="L118">
        <v>170.3</v>
      </c>
      <c r="M118">
        <v>101.8</v>
      </c>
      <c r="N118">
        <v>140.1</v>
      </c>
      <c r="O118">
        <v>120.7</v>
      </c>
      <c r="P118">
        <v>135.4</v>
      </c>
      <c r="Q118">
        <v>128.9</v>
      </c>
      <c r="R118">
        <v>140.6</v>
      </c>
      <c r="S118">
        <v>126.4</v>
      </c>
      <c r="T118">
        <v>120.3</v>
      </c>
      <c r="U118">
        <v>125.5</v>
      </c>
      <c r="V118">
        <v>124.9</v>
      </c>
      <c r="W118">
        <v>114.8</v>
      </c>
      <c r="X118">
        <v>122.3</v>
      </c>
      <c r="Y118">
        <v>119.7</v>
      </c>
      <c r="Z118">
        <v>117.1</v>
      </c>
      <c r="AA118">
        <v>126.4</v>
      </c>
      <c r="AB118">
        <v>119.1</v>
      </c>
      <c r="AC118">
        <v>108.5</v>
      </c>
      <c r="AD118">
        <v>117.3</v>
      </c>
      <c r="AE118">
        <v>123.8</v>
      </c>
    </row>
    <row r="119" spans="1:31" x14ac:dyDescent="0.3">
      <c r="A119" t="s">
        <v>27</v>
      </c>
      <c r="B119">
        <v>2016</v>
      </c>
      <c r="C119" t="s">
        <v>33</v>
      </c>
      <c r="D119">
        <f t="shared" si="3"/>
        <v>4</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s="2">
        <f>'Missing values'!V115</f>
        <v>125.6</v>
      </c>
      <c r="W119">
        <v>127</v>
      </c>
      <c r="X119">
        <v>128</v>
      </c>
      <c r="Y119">
        <v>125.2</v>
      </c>
      <c r="Z119">
        <v>118.4</v>
      </c>
      <c r="AA119">
        <v>127.9</v>
      </c>
      <c r="AB119">
        <v>123.2</v>
      </c>
      <c r="AC119">
        <v>114.4</v>
      </c>
      <c r="AD119">
        <v>121.7</v>
      </c>
      <c r="AE119">
        <v>129</v>
      </c>
    </row>
    <row r="120" spans="1:31" x14ac:dyDescent="0.3">
      <c r="A120" t="s">
        <v>30</v>
      </c>
      <c r="B120">
        <v>2016</v>
      </c>
      <c r="C120" t="s">
        <v>33</v>
      </c>
      <c r="D120">
        <f t="shared" si="3"/>
        <v>4</v>
      </c>
      <c r="E120">
        <v>126.6</v>
      </c>
      <c r="F120">
        <v>136.80000000000001</v>
      </c>
      <c r="G120">
        <v>122</v>
      </c>
      <c r="H120">
        <v>130.9</v>
      </c>
      <c r="I120">
        <v>114.8</v>
      </c>
      <c r="J120">
        <v>134.80000000000001</v>
      </c>
      <c r="K120">
        <v>135</v>
      </c>
      <c r="L120">
        <v>167.5</v>
      </c>
      <c r="M120">
        <v>106.4</v>
      </c>
      <c r="N120">
        <v>134.4</v>
      </c>
      <c r="O120">
        <v>123.6</v>
      </c>
      <c r="P120">
        <v>136.69999999999999</v>
      </c>
      <c r="Q120">
        <v>131.80000000000001</v>
      </c>
      <c r="R120">
        <v>137.1</v>
      </c>
      <c r="S120">
        <v>131.80000000000001</v>
      </c>
      <c r="T120">
        <v>126.4</v>
      </c>
      <c r="U120">
        <v>131</v>
      </c>
      <c r="V120">
        <v>125.6</v>
      </c>
      <c r="W120">
        <v>122.3</v>
      </c>
      <c r="X120">
        <v>125.5</v>
      </c>
      <c r="Y120">
        <v>123.2</v>
      </c>
      <c r="Z120">
        <v>118.1</v>
      </c>
      <c r="AA120">
        <v>127.7</v>
      </c>
      <c r="AB120">
        <v>121.1</v>
      </c>
      <c r="AC120">
        <v>112.1</v>
      </c>
      <c r="AD120">
        <v>120</v>
      </c>
      <c r="AE120">
        <v>127.3</v>
      </c>
    </row>
    <row r="121" spans="1:31" x14ac:dyDescent="0.3">
      <c r="A121" t="s">
        <v>29</v>
      </c>
      <c r="B121">
        <v>2016</v>
      </c>
      <c r="C121" t="s">
        <v>33</v>
      </c>
      <c r="D121">
        <f t="shared" si="3"/>
        <v>4</v>
      </c>
      <c r="E121">
        <v>124.9</v>
      </c>
      <c r="F121">
        <v>139.30000000000001</v>
      </c>
      <c r="G121">
        <v>119.9</v>
      </c>
      <c r="H121">
        <v>130.19999999999999</v>
      </c>
      <c r="I121">
        <v>108.9</v>
      </c>
      <c r="J121">
        <v>131.1</v>
      </c>
      <c r="K121">
        <v>136.80000000000001</v>
      </c>
      <c r="L121">
        <v>176.9</v>
      </c>
      <c r="M121">
        <v>109.1</v>
      </c>
      <c r="N121">
        <v>140.4</v>
      </c>
      <c r="O121">
        <v>121.1</v>
      </c>
      <c r="P121">
        <v>135.9</v>
      </c>
      <c r="Q121">
        <v>131.80000000000001</v>
      </c>
      <c r="R121">
        <v>141.5</v>
      </c>
      <c r="S121">
        <v>126.8</v>
      </c>
      <c r="T121">
        <v>120.5</v>
      </c>
      <c r="U121">
        <v>125.8</v>
      </c>
      <c r="V121">
        <v>125.6</v>
      </c>
      <c r="W121">
        <v>114.6</v>
      </c>
      <c r="X121">
        <v>122.8</v>
      </c>
      <c r="Y121">
        <v>120</v>
      </c>
      <c r="Z121">
        <v>117.6</v>
      </c>
      <c r="AA121">
        <v>127.6</v>
      </c>
      <c r="AB121">
        <v>119.5</v>
      </c>
      <c r="AC121">
        <v>110</v>
      </c>
      <c r="AD121">
        <v>118.2</v>
      </c>
      <c r="AE121">
        <v>125.3</v>
      </c>
    </row>
    <row r="122" spans="1:31" x14ac:dyDescent="0.3">
      <c r="A122" t="s">
        <v>27</v>
      </c>
      <c r="B122">
        <v>2016</v>
      </c>
      <c r="C122" t="s">
        <v>34</v>
      </c>
      <c r="D122">
        <f t="shared" si="3"/>
        <v>5</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s="2">
        <f>'Missing values'!V145</f>
        <v>126</v>
      </c>
      <c r="W122">
        <v>127.4</v>
      </c>
      <c r="X122">
        <v>128.5</v>
      </c>
      <c r="Y122">
        <v>125.8</v>
      </c>
      <c r="Z122">
        <v>119.7</v>
      </c>
      <c r="AA122">
        <v>129.1</v>
      </c>
      <c r="AB122">
        <v>123.6</v>
      </c>
      <c r="AC122">
        <v>115.1</v>
      </c>
      <c r="AD122">
        <v>122.5</v>
      </c>
      <c r="AE122">
        <v>130.30000000000001</v>
      </c>
    </row>
    <row r="123" spans="1:31" x14ac:dyDescent="0.3">
      <c r="A123" t="s">
        <v>30</v>
      </c>
      <c r="B123">
        <v>2016</v>
      </c>
      <c r="C123" t="s">
        <v>34</v>
      </c>
      <c r="D123">
        <f t="shared" si="3"/>
        <v>5</v>
      </c>
      <c r="E123">
        <v>126.8</v>
      </c>
      <c r="F123">
        <v>139.1</v>
      </c>
      <c r="G123">
        <v>125.4</v>
      </c>
      <c r="H123">
        <v>131.69999999999999</v>
      </c>
      <c r="I123">
        <v>115</v>
      </c>
      <c r="J123">
        <v>136</v>
      </c>
      <c r="K123">
        <v>145.1</v>
      </c>
      <c r="L123">
        <v>171.7</v>
      </c>
      <c r="M123">
        <v>108.7</v>
      </c>
      <c r="N123">
        <v>135.30000000000001</v>
      </c>
      <c r="O123">
        <v>124.2</v>
      </c>
      <c r="P123">
        <v>137.4</v>
      </c>
      <c r="Q123">
        <v>134</v>
      </c>
      <c r="R123">
        <v>137.69999999999999</v>
      </c>
      <c r="S123">
        <v>132.19999999999999</v>
      </c>
      <c r="T123">
        <v>126.8</v>
      </c>
      <c r="U123">
        <v>131.4</v>
      </c>
      <c r="V123">
        <v>126</v>
      </c>
      <c r="W123">
        <v>122.7</v>
      </c>
      <c r="X123">
        <v>126</v>
      </c>
      <c r="Y123">
        <v>123.7</v>
      </c>
      <c r="Z123">
        <v>119.2</v>
      </c>
      <c r="AA123">
        <v>128.5</v>
      </c>
      <c r="AB123">
        <v>121.5</v>
      </c>
      <c r="AC123">
        <v>112.8</v>
      </c>
      <c r="AD123">
        <v>120.7</v>
      </c>
      <c r="AE123">
        <v>128.6</v>
      </c>
    </row>
    <row r="124" spans="1:31" x14ac:dyDescent="0.3">
      <c r="A124" t="s">
        <v>29</v>
      </c>
      <c r="B124">
        <v>2016</v>
      </c>
      <c r="C124" t="s">
        <v>34</v>
      </c>
      <c r="D124">
        <f t="shared" si="3"/>
        <v>5</v>
      </c>
      <c r="E124">
        <v>125</v>
      </c>
      <c r="F124">
        <v>142.1</v>
      </c>
      <c r="G124">
        <v>127</v>
      </c>
      <c r="H124">
        <v>130.4</v>
      </c>
      <c r="I124">
        <v>109.6</v>
      </c>
      <c r="J124">
        <v>133.5</v>
      </c>
      <c r="K124">
        <v>151.4</v>
      </c>
      <c r="L124">
        <v>182.8</v>
      </c>
      <c r="M124">
        <v>111.1</v>
      </c>
      <c r="N124">
        <v>141.5</v>
      </c>
      <c r="O124">
        <v>121.5</v>
      </c>
      <c r="P124">
        <v>136.30000000000001</v>
      </c>
      <c r="Q124">
        <v>134.6</v>
      </c>
      <c r="R124">
        <v>142.19999999999999</v>
      </c>
      <c r="S124">
        <v>127.2</v>
      </c>
      <c r="T124">
        <v>120.7</v>
      </c>
      <c r="U124">
        <v>126.2</v>
      </c>
      <c r="V124">
        <v>126</v>
      </c>
      <c r="W124">
        <v>115</v>
      </c>
      <c r="X124">
        <v>123.2</v>
      </c>
      <c r="Y124">
        <v>120.3</v>
      </c>
      <c r="Z124">
        <v>118.5</v>
      </c>
      <c r="AA124">
        <v>128</v>
      </c>
      <c r="AB124">
        <v>119.8</v>
      </c>
      <c r="AC124">
        <v>110.7</v>
      </c>
      <c r="AD124">
        <v>118.7</v>
      </c>
      <c r="AE124">
        <v>126.6</v>
      </c>
    </row>
    <row r="125" spans="1:31" x14ac:dyDescent="0.3">
      <c r="A125" t="s">
        <v>27</v>
      </c>
      <c r="B125">
        <v>2016</v>
      </c>
      <c r="C125" t="s">
        <v>35</v>
      </c>
      <c r="D125">
        <f t="shared" si="3"/>
        <v>6</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s="2">
        <f>'Missing values'!V178</f>
        <v>125.5</v>
      </c>
      <c r="W125">
        <v>128</v>
      </c>
      <c r="X125">
        <v>129.30000000000001</v>
      </c>
      <c r="Y125">
        <v>126.2</v>
      </c>
      <c r="Z125">
        <v>119.9</v>
      </c>
      <c r="AA125">
        <v>130.19999999999999</v>
      </c>
      <c r="AB125">
        <v>124.1</v>
      </c>
      <c r="AC125">
        <v>116.3</v>
      </c>
      <c r="AD125">
        <v>123.3</v>
      </c>
      <c r="AE125">
        <v>131.9</v>
      </c>
    </row>
    <row r="126" spans="1:31" x14ac:dyDescent="0.3">
      <c r="A126" t="s">
        <v>30</v>
      </c>
      <c r="B126">
        <v>2016</v>
      </c>
      <c r="C126" t="s">
        <v>35</v>
      </c>
      <c r="D126">
        <f t="shared" si="3"/>
        <v>6</v>
      </c>
      <c r="E126">
        <v>127.7</v>
      </c>
      <c r="F126">
        <v>140.5</v>
      </c>
      <c r="G126">
        <v>128.30000000000001</v>
      </c>
      <c r="H126">
        <v>132.6</v>
      </c>
      <c r="I126">
        <v>115.5</v>
      </c>
      <c r="J126">
        <v>136.5</v>
      </c>
      <c r="K126">
        <v>159.69999999999999</v>
      </c>
      <c r="L126">
        <v>174.3</v>
      </c>
      <c r="M126">
        <v>109.9</v>
      </c>
      <c r="N126">
        <v>136.30000000000001</v>
      </c>
      <c r="O126">
        <v>124.4</v>
      </c>
      <c r="P126">
        <v>138.1</v>
      </c>
      <c r="Q126">
        <v>136.80000000000001</v>
      </c>
      <c r="R126">
        <v>138.69999999999999</v>
      </c>
      <c r="S126">
        <v>132.9</v>
      </c>
      <c r="T126">
        <v>127.2</v>
      </c>
      <c r="U126">
        <v>132</v>
      </c>
      <c r="V126">
        <v>125.5</v>
      </c>
      <c r="W126">
        <v>123.3</v>
      </c>
      <c r="X126">
        <v>126.4</v>
      </c>
      <c r="Y126">
        <v>124.1</v>
      </c>
      <c r="Z126">
        <v>119.4</v>
      </c>
      <c r="AA126">
        <v>129.69999999999999</v>
      </c>
      <c r="AB126">
        <v>121.7</v>
      </c>
      <c r="AC126">
        <v>114.2</v>
      </c>
      <c r="AD126">
        <v>121.5</v>
      </c>
      <c r="AE126">
        <v>130.1</v>
      </c>
    </row>
    <row r="127" spans="1:31" x14ac:dyDescent="0.3">
      <c r="A127" t="s">
        <v>29</v>
      </c>
      <c r="B127">
        <v>2016</v>
      </c>
      <c r="C127" t="s">
        <v>35</v>
      </c>
      <c r="D127">
        <f t="shared" si="3"/>
        <v>6</v>
      </c>
      <c r="E127">
        <v>125.9</v>
      </c>
      <c r="F127">
        <v>143.9</v>
      </c>
      <c r="G127">
        <v>130.9</v>
      </c>
      <c r="H127">
        <v>131</v>
      </c>
      <c r="I127">
        <v>110.2</v>
      </c>
      <c r="J127">
        <v>135.5</v>
      </c>
      <c r="K127">
        <v>173.7</v>
      </c>
      <c r="L127">
        <v>184.4</v>
      </c>
      <c r="M127">
        <v>112</v>
      </c>
      <c r="N127">
        <v>142.80000000000001</v>
      </c>
      <c r="O127">
        <v>121.6</v>
      </c>
      <c r="P127">
        <v>136.9</v>
      </c>
      <c r="Q127">
        <v>138.19999999999999</v>
      </c>
      <c r="R127">
        <v>142.69999999999999</v>
      </c>
      <c r="S127">
        <v>127.6</v>
      </c>
      <c r="T127">
        <v>121.1</v>
      </c>
      <c r="U127">
        <v>126.6</v>
      </c>
      <c r="V127">
        <v>125.5</v>
      </c>
      <c r="W127">
        <v>115.5</v>
      </c>
      <c r="X127">
        <v>123.2</v>
      </c>
      <c r="Y127">
        <v>120.6</v>
      </c>
      <c r="Z127">
        <v>118.8</v>
      </c>
      <c r="AA127">
        <v>129.30000000000001</v>
      </c>
      <c r="AB127">
        <v>119.9</v>
      </c>
      <c r="AC127">
        <v>112.3</v>
      </c>
      <c r="AD127">
        <v>119.6</v>
      </c>
      <c r="AE127">
        <v>128.1</v>
      </c>
    </row>
    <row r="128" spans="1:31" x14ac:dyDescent="0.3">
      <c r="A128" t="s">
        <v>27</v>
      </c>
      <c r="B128">
        <v>2016</v>
      </c>
      <c r="C128" t="s">
        <v>36</v>
      </c>
      <c r="D128">
        <f t="shared" si="3"/>
        <v>7</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s="2">
        <f>'Missing values'!V208</f>
        <v>126.4</v>
      </c>
      <c r="W128">
        <v>128.19999999999999</v>
      </c>
      <c r="X128">
        <v>130</v>
      </c>
      <c r="Y128">
        <v>126.7</v>
      </c>
      <c r="Z128">
        <v>120.9</v>
      </c>
      <c r="AA128">
        <v>130.80000000000001</v>
      </c>
      <c r="AB128">
        <v>125.2</v>
      </c>
      <c r="AC128">
        <v>116.4</v>
      </c>
      <c r="AD128">
        <v>123.8</v>
      </c>
      <c r="AE128">
        <v>133</v>
      </c>
    </row>
    <row r="129" spans="1:31" x14ac:dyDescent="0.3">
      <c r="A129" t="s">
        <v>30</v>
      </c>
      <c r="B129">
        <v>2016</v>
      </c>
      <c r="C129" t="s">
        <v>36</v>
      </c>
      <c r="D129">
        <f t="shared" si="3"/>
        <v>7</v>
      </c>
      <c r="E129">
        <v>128.5</v>
      </c>
      <c r="F129">
        <v>141.19999999999999</v>
      </c>
      <c r="G129">
        <v>132.30000000000001</v>
      </c>
      <c r="H129">
        <v>133.5</v>
      </c>
      <c r="I129">
        <v>116.4</v>
      </c>
      <c r="J129">
        <v>137.80000000000001</v>
      </c>
      <c r="K129">
        <v>165.4</v>
      </c>
      <c r="L129">
        <v>177.4</v>
      </c>
      <c r="M129">
        <v>111.3</v>
      </c>
      <c r="N129">
        <v>137.5</v>
      </c>
      <c r="O129">
        <v>125</v>
      </c>
      <c r="P129">
        <v>138.80000000000001</v>
      </c>
      <c r="Q129">
        <v>138.4</v>
      </c>
      <c r="R129">
        <v>139.30000000000001</v>
      </c>
      <c r="S129">
        <v>133.5</v>
      </c>
      <c r="T129">
        <v>127.6</v>
      </c>
      <c r="U129">
        <v>132.69999999999999</v>
      </c>
      <c r="V129">
        <v>126.4</v>
      </c>
      <c r="W129">
        <v>123.4</v>
      </c>
      <c r="X129">
        <v>126.9</v>
      </c>
      <c r="Y129">
        <v>124.5</v>
      </c>
      <c r="Z129">
        <v>120.5</v>
      </c>
      <c r="AA129">
        <v>130.80000000000001</v>
      </c>
      <c r="AB129">
        <v>122.4</v>
      </c>
      <c r="AC129">
        <v>113.9</v>
      </c>
      <c r="AD129">
        <v>121.9</v>
      </c>
      <c r="AE129">
        <v>131.1</v>
      </c>
    </row>
    <row r="130" spans="1:31" x14ac:dyDescent="0.3">
      <c r="A130" t="s">
        <v>29</v>
      </c>
      <c r="B130">
        <v>2016</v>
      </c>
      <c r="C130" t="s">
        <v>36</v>
      </c>
      <c r="D130">
        <f t="shared" si="3"/>
        <v>7</v>
      </c>
      <c r="E130">
        <v>126.8</v>
      </c>
      <c r="F130">
        <v>144.19999999999999</v>
      </c>
      <c r="G130">
        <v>136.6</v>
      </c>
      <c r="H130">
        <v>131.80000000000001</v>
      </c>
      <c r="I130">
        <v>111</v>
      </c>
      <c r="J130">
        <v>137</v>
      </c>
      <c r="K130">
        <v>179.5</v>
      </c>
      <c r="L130">
        <v>188.4</v>
      </c>
      <c r="M130">
        <v>113.3</v>
      </c>
      <c r="N130">
        <v>143.9</v>
      </c>
      <c r="O130">
        <v>121.7</v>
      </c>
      <c r="P130">
        <v>137.5</v>
      </c>
      <c r="Q130">
        <v>139.80000000000001</v>
      </c>
      <c r="R130">
        <v>142.9</v>
      </c>
      <c r="S130">
        <v>127.9</v>
      </c>
      <c r="T130">
        <v>121.1</v>
      </c>
      <c r="U130">
        <v>126.9</v>
      </c>
      <c r="V130">
        <v>126.4</v>
      </c>
      <c r="W130">
        <v>115.5</v>
      </c>
      <c r="X130">
        <v>123.5</v>
      </c>
      <c r="Y130">
        <v>120.9</v>
      </c>
      <c r="Z130">
        <v>120</v>
      </c>
      <c r="AA130">
        <v>130.80000000000001</v>
      </c>
      <c r="AB130">
        <v>120.3</v>
      </c>
      <c r="AC130">
        <v>111.7</v>
      </c>
      <c r="AD130">
        <v>119.9</v>
      </c>
      <c r="AE130">
        <v>129</v>
      </c>
    </row>
    <row r="131" spans="1:31" x14ac:dyDescent="0.3">
      <c r="A131" t="s">
        <v>27</v>
      </c>
      <c r="B131">
        <v>2016</v>
      </c>
      <c r="C131" t="s">
        <v>37</v>
      </c>
      <c r="D131">
        <f t="shared" si="3"/>
        <v>8</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s="2">
        <f>'Missing values'!V238</f>
        <v>127.3</v>
      </c>
      <c r="W131">
        <v>129.1</v>
      </c>
      <c r="X131">
        <v>130.6</v>
      </c>
      <c r="Y131">
        <v>127</v>
      </c>
      <c r="Z131">
        <v>122</v>
      </c>
      <c r="AA131">
        <v>131.9</v>
      </c>
      <c r="AB131">
        <v>125.5</v>
      </c>
      <c r="AC131">
        <v>116</v>
      </c>
      <c r="AD131">
        <v>124.2</v>
      </c>
      <c r="AE131">
        <v>133.5</v>
      </c>
    </row>
    <row r="132" spans="1:31" x14ac:dyDescent="0.3">
      <c r="A132" t="s">
        <v>30</v>
      </c>
      <c r="B132">
        <v>2016</v>
      </c>
      <c r="C132" t="s">
        <v>37</v>
      </c>
      <c r="D132">
        <f t="shared" si="3"/>
        <v>8</v>
      </c>
      <c r="E132">
        <v>129.30000000000001</v>
      </c>
      <c r="F132">
        <v>139.30000000000001</v>
      </c>
      <c r="G132">
        <v>131.6</v>
      </c>
      <c r="H132">
        <v>134.1</v>
      </c>
      <c r="I132">
        <v>116.9</v>
      </c>
      <c r="J132">
        <v>138.1</v>
      </c>
      <c r="K132">
        <v>159.1</v>
      </c>
      <c r="L132">
        <v>175.6</v>
      </c>
      <c r="M132">
        <v>112.9</v>
      </c>
      <c r="N132">
        <v>138.1</v>
      </c>
      <c r="O132">
        <v>125.5</v>
      </c>
      <c r="P132">
        <v>139.5</v>
      </c>
      <c r="Q132">
        <v>137.9</v>
      </c>
      <c r="R132">
        <v>140.19999999999999</v>
      </c>
      <c r="S132">
        <v>134.1</v>
      </c>
      <c r="T132">
        <v>128.19999999999999</v>
      </c>
      <c r="U132">
        <v>133.19999999999999</v>
      </c>
      <c r="V132">
        <v>127.3</v>
      </c>
      <c r="W132">
        <v>123.6</v>
      </c>
      <c r="X132">
        <v>127.4</v>
      </c>
      <c r="Y132">
        <v>124.8</v>
      </c>
      <c r="Z132">
        <v>121.5</v>
      </c>
      <c r="AA132">
        <v>131.69999999999999</v>
      </c>
      <c r="AB132">
        <v>122.7</v>
      </c>
      <c r="AC132">
        <v>113.1</v>
      </c>
      <c r="AD132">
        <v>122.1</v>
      </c>
      <c r="AE132">
        <v>131.1</v>
      </c>
    </row>
    <row r="133" spans="1:31" x14ac:dyDescent="0.3">
      <c r="A133" t="s">
        <v>29</v>
      </c>
      <c r="B133">
        <v>2016</v>
      </c>
      <c r="C133" t="s">
        <v>37</v>
      </c>
      <c r="D133">
        <f t="shared" si="3"/>
        <v>8</v>
      </c>
      <c r="E133">
        <v>127.6</v>
      </c>
      <c r="F133">
        <v>140.30000000000001</v>
      </c>
      <c r="G133">
        <v>133.69999999999999</v>
      </c>
      <c r="H133">
        <v>132.19999999999999</v>
      </c>
      <c r="I133">
        <v>111.8</v>
      </c>
      <c r="J133">
        <v>135.80000000000001</v>
      </c>
      <c r="K133">
        <v>163.5</v>
      </c>
      <c r="L133">
        <v>182.3</v>
      </c>
      <c r="M133">
        <v>114.6</v>
      </c>
      <c r="N133">
        <v>144.6</v>
      </c>
      <c r="O133">
        <v>121.9</v>
      </c>
      <c r="P133">
        <v>138.1</v>
      </c>
      <c r="Q133">
        <v>137.6</v>
      </c>
      <c r="R133">
        <v>143.6</v>
      </c>
      <c r="S133">
        <v>128.30000000000001</v>
      </c>
      <c r="T133">
        <v>121.4</v>
      </c>
      <c r="U133">
        <v>127.3</v>
      </c>
      <c r="V133">
        <v>127.3</v>
      </c>
      <c r="W133">
        <v>114.7</v>
      </c>
      <c r="X133">
        <v>123.9</v>
      </c>
      <c r="Y133">
        <v>121.2</v>
      </c>
      <c r="Z133">
        <v>120.9</v>
      </c>
      <c r="AA133">
        <v>131.5</v>
      </c>
      <c r="AB133">
        <v>120.6</v>
      </c>
      <c r="AC133">
        <v>110.4</v>
      </c>
      <c r="AD133">
        <v>119.9</v>
      </c>
      <c r="AE133">
        <v>128.4</v>
      </c>
    </row>
    <row r="134" spans="1:31" x14ac:dyDescent="0.3">
      <c r="A134" t="s">
        <v>27</v>
      </c>
      <c r="B134">
        <v>2016</v>
      </c>
      <c r="C134" t="s">
        <v>38</v>
      </c>
      <c r="D134">
        <f t="shared" si="3"/>
        <v>9</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s="2">
        <f>'Missing values'!V268</f>
        <v>127.9</v>
      </c>
      <c r="W134">
        <v>129.69999999999999</v>
      </c>
      <c r="X134">
        <v>131.1</v>
      </c>
      <c r="Y134">
        <v>127.8</v>
      </c>
      <c r="Z134">
        <v>122.8</v>
      </c>
      <c r="AA134">
        <v>132.19999999999999</v>
      </c>
      <c r="AB134">
        <v>125.7</v>
      </c>
      <c r="AC134">
        <v>117</v>
      </c>
      <c r="AD134">
        <v>124.9</v>
      </c>
      <c r="AE134">
        <v>133.4</v>
      </c>
    </row>
    <row r="135" spans="1:31" x14ac:dyDescent="0.3">
      <c r="A135" t="s">
        <v>30</v>
      </c>
      <c r="B135">
        <v>2016</v>
      </c>
      <c r="C135" t="s">
        <v>38</v>
      </c>
      <c r="D135">
        <f t="shared" si="3"/>
        <v>9</v>
      </c>
      <c r="E135">
        <v>129.9</v>
      </c>
      <c r="F135">
        <v>138</v>
      </c>
      <c r="G135">
        <v>130.5</v>
      </c>
      <c r="H135">
        <v>134.4</v>
      </c>
      <c r="I135">
        <v>117.2</v>
      </c>
      <c r="J135">
        <v>136.1</v>
      </c>
      <c r="K135">
        <v>150.69999999999999</v>
      </c>
      <c r="L135">
        <v>171.5</v>
      </c>
      <c r="M135">
        <v>113.8</v>
      </c>
      <c r="N135">
        <v>138.80000000000001</v>
      </c>
      <c r="O135">
        <v>126</v>
      </c>
      <c r="P135">
        <v>140.19999999999999</v>
      </c>
      <c r="Q135">
        <v>136.6</v>
      </c>
      <c r="R135">
        <v>141</v>
      </c>
      <c r="S135">
        <v>134.6</v>
      </c>
      <c r="T135">
        <v>128.6</v>
      </c>
      <c r="U135">
        <v>133.80000000000001</v>
      </c>
      <c r="V135">
        <v>127.9</v>
      </c>
      <c r="W135">
        <v>124.1</v>
      </c>
      <c r="X135">
        <v>127.9</v>
      </c>
      <c r="Y135">
        <v>125.4</v>
      </c>
      <c r="Z135">
        <v>122.1</v>
      </c>
      <c r="AA135">
        <v>131.80000000000001</v>
      </c>
      <c r="AB135">
        <v>122.9</v>
      </c>
      <c r="AC135">
        <v>114.3</v>
      </c>
      <c r="AD135">
        <v>122.8</v>
      </c>
      <c r="AE135">
        <v>130.9</v>
      </c>
    </row>
    <row r="136" spans="1:31" x14ac:dyDescent="0.3">
      <c r="A136" t="s">
        <v>29</v>
      </c>
      <c r="B136">
        <v>2016</v>
      </c>
      <c r="C136" t="s">
        <v>38</v>
      </c>
      <c r="D136">
        <f t="shared" si="3"/>
        <v>9</v>
      </c>
      <c r="E136">
        <v>128.1</v>
      </c>
      <c r="F136">
        <v>137.69999999999999</v>
      </c>
      <c r="G136">
        <v>130.6</v>
      </c>
      <c r="H136">
        <v>132.6</v>
      </c>
      <c r="I136">
        <v>111.9</v>
      </c>
      <c r="J136">
        <v>132.5</v>
      </c>
      <c r="K136">
        <v>152.9</v>
      </c>
      <c r="L136">
        <v>173.6</v>
      </c>
      <c r="M136">
        <v>115.1</v>
      </c>
      <c r="N136">
        <v>144.80000000000001</v>
      </c>
      <c r="O136">
        <v>122.1</v>
      </c>
      <c r="P136">
        <v>138.80000000000001</v>
      </c>
      <c r="Q136">
        <v>135.69999999999999</v>
      </c>
      <c r="R136">
        <v>143.9</v>
      </c>
      <c r="S136">
        <v>128.69999999999999</v>
      </c>
      <c r="T136">
        <v>121.6</v>
      </c>
      <c r="U136">
        <v>127.7</v>
      </c>
      <c r="V136">
        <v>127.9</v>
      </c>
      <c r="W136">
        <v>114.8</v>
      </c>
      <c r="X136">
        <v>124.3</v>
      </c>
      <c r="Y136">
        <v>121.4</v>
      </c>
      <c r="Z136">
        <v>121.2</v>
      </c>
      <c r="AA136">
        <v>131.6</v>
      </c>
      <c r="AB136">
        <v>120.8</v>
      </c>
      <c r="AC136">
        <v>111.8</v>
      </c>
      <c r="AD136">
        <v>120.5</v>
      </c>
      <c r="AE136">
        <v>128</v>
      </c>
    </row>
    <row r="137" spans="1:31" x14ac:dyDescent="0.3">
      <c r="A137" t="s">
        <v>27</v>
      </c>
      <c r="B137">
        <v>2016</v>
      </c>
      <c r="C137" t="s">
        <v>39</v>
      </c>
      <c r="D137">
        <f t="shared" si="3"/>
        <v>10</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s="2">
        <f>'Missing values'!V298</f>
        <v>128.69999999999999</v>
      </c>
      <c r="W137">
        <v>129.80000000000001</v>
      </c>
      <c r="X137">
        <v>131.80000000000001</v>
      </c>
      <c r="Y137">
        <v>128.69999999999999</v>
      </c>
      <c r="Z137">
        <v>123</v>
      </c>
      <c r="AA137">
        <v>133</v>
      </c>
      <c r="AB137">
        <v>126.5</v>
      </c>
      <c r="AC137">
        <v>117.8</v>
      </c>
      <c r="AD137">
        <v>125.7</v>
      </c>
      <c r="AE137">
        <v>133.80000000000001</v>
      </c>
    </row>
    <row r="138" spans="1:31" x14ac:dyDescent="0.3">
      <c r="A138" t="s">
        <v>30</v>
      </c>
      <c r="B138">
        <v>2016</v>
      </c>
      <c r="C138" t="s">
        <v>39</v>
      </c>
      <c r="D138">
        <f t="shared" si="3"/>
        <v>10</v>
      </c>
      <c r="E138">
        <v>130.5</v>
      </c>
      <c r="F138">
        <v>137.9</v>
      </c>
      <c r="G138">
        <v>130.19999999999999</v>
      </c>
      <c r="H138">
        <v>134.80000000000001</v>
      </c>
      <c r="I138">
        <v>117.8</v>
      </c>
      <c r="J138">
        <v>134.69999999999999</v>
      </c>
      <c r="K138">
        <v>151.19999999999999</v>
      </c>
      <c r="L138">
        <v>172.1</v>
      </c>
      <c r="M138">
        <v>114.1</v>
      </c>
      <c r="N138">
        <v>139.30000000000001</v>
      </c>
      <c r="O138">
        <v>126.1</v>
      </c>
      <c r="P138">
        <v>141.1</v>
      </c>
      <c r="Q138">
        <v>137</v>
      </c>
      <c r="R138">
        <v>141.80000000000001</v>
      </c>
      <c r="S138">
        <v>135.5</v>
      </c>
      <c r="T138">
        <v>129.1</v>
      </c>
      <c r="U138">
        <v>134.5</v>
      </c>
      <c r="V138">
        <v>128.69999999999999</v>
      </c>
      <c r="W138">
        <v>124.3</v>
      </c>
      <c r="X138">
        <v>128.4</v>
      </c>
      <c r="Y138">
        <v>126.1</v>
      </c>
      <c r="Z138">
        <v>122.1</v>
      </c>
      <c r="AA138">
        <v>132.4</v>
      </c>
      <c r="AB138">
        <v>123.5</v>
      </c>
      <c r="AC138">
        <v>115.2</v>
      </c>
      <c r="AD138">
        <v>123.4</v>
      </c>
      <c r="AE138">
        <v>131.4</v>
      </c>
    </row>
    <row r="139" spans="1:31" x14ac:dyDescent="0.3">
      <c r="A139" t="s">
        <v>29</v>
      </c>
      <c r="B139">
        <v>2016</v>
      </c>
      <c r="C139" t="s">
        <v>39</v>
      </c>
      <c r="D139">
        <f t="shared" si="3"/>
        <v>10</v>
      </c>
      <c r="E139">
        <v>128.69999999999999</v>
      </c>
      <c r="F139">
        <v>138.4</v>
      </c>
      <c r="G139">
        <v>130.30000000000001</v>
      </c>
      <c r="H139">
        <v>132.69999999999999</v>
      </c>
      <c r="I139">
        <v>112.5</v>
      </c>
      <c r="J139">
        <v>130.4</v>
      </c>
      <c r="K139">
        <v>155.1</v>
      </c>
      <c r="L139">
        <v>175.7</v>
      </c>
      <c r="M139">
        <v>115.4</v>
      </c>
      <c r="N139">
        <v>145.30000000000001</v>
      </c>
      <c r="O139">
        <v>122.5</v>
      </c>
      <c r="P139">
        <v>139.6</v>
      </c>
      <c r="Q139">
        <v>136.30000000000001</v>
      </c>
      <c r="R139">
        <v>144.30000000000001</v>
      </c>
      <c r="S139">
        <v>129.1</v>
      </c>
      <c r="T139">
        <v>121.9</v>
      </c>
      <c r="U139">
        <v>128</v>
      </c>
      <c r="V139">
        <v>128.69999999999999</v>
      </c>
      <c r="W139">
        <v>115.2</v>
      </c>
      <c r="X139">
        <v>124.5</v>
      </c>
      <c r="Y139">
        <v>121.8</v>
      </c>
      <c r="Z139">
        <v>120.8</v>
      </c>
      <c r="AA139">
        <v>131.9</v>
      </c>
      <c r="AB139">
        <v>121.2</v>
      </c>
      <c r="AC139">
        <v>112.8</v>
      </c>
      <c r="AD139">
        <v>120.9</v>
      </c>
      <c r="AE139">
        <v>128.6</v>
      </c>
    </row>
    <row r="140" spans="1:31" x14ac:dyDescent="0.3">
      <c r="A140" t="s">
        <v>27</v>
      </c>
      <c r="B140">
        <v>2016</v>
      </c>
      <c r="C140" t="s">
        <v>41</v>
      </c>
      <c r="D140">
        <f t="shared" si="3"/>
        <v>11</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s="2">
        <f>'Missing values'!V328</f>
        <v>129.1</v>
      </c>
      <c r="W140">
        <v>130.30000000000001</v>
      </c>
      <c r="X140">
        <v>132.1</v>
      </c>
      <c r="Y140">
        <v>129.1</v>
      </c>
      <c r="Z140">
        <v>123.5</v>
      </c>
      <c r="AA140">
        <v>133.69999999999999</v>
      </c>
      <c r="AB140">
        <v>126.9</v>
      </c>
      <c r="AC140">
        <v>118.2</v>
      </c>
      <c r="AD140">
        <v>126.1</v>
      </c>
      <c r="AE140">
        <v>133.6</v>
      </c>
    </row>
    <row r="141" spans="1:31" x14ac:dyDescent="0.3">
      <c r="A141" t="s">
        <v>30</v>
      </c>
      <c r="B141">
        <v>2016</v>
      </c>
      <c r="C141" t="s">
        <v>41</v>
      </c>
      <c r="D141">
        <f t="shared" si="3"/>
        <v>11</v>
      </c>
      <c r="E141">
        <v>131.4</v>
      </c>
      <c r="F141">
        <v>137.80000000000001</v>
      </c>
      <c r="G141">
        <v>132</v>
      </c>
      <c r="H141">
        <v>135</v>
      </c>
      <c r="I141">
        <v>118</v>
      </c>
      <c r="J141">
        <v>134.1</v>
      </c>
      <c r="K141">
        <v>141.9</v>
      </c>
      <c r="L141">
        <v>171.7</v>
      </c>
      <c r="M141">
        <v>114.1</v>
      </c>
      <c r="N141">
        <v>139.69999999999999</v>
      </c>
      <c r="O141">
        <v>126.2</v>
      </c>
      <c r="P141">
        <v>141.80000000000001</v>
      </c>
      <c r="Q141">
        <v>136.1</v>
      </c>
      <c r="R141">
        <v>142</v>
      </c>
      <c r="S141">
        <v>135.80000000000001</v>
      </c>
      <c r="T141">
        <v>129.30000000000001</v>
      </c>
      <c r="U141">
        <v>135</v>
      </c>
      <c r="V141">
        <v>129.1</v>
      </c>
      <c r="W141">
        <v>125</v>
      </c>
      <c r="X141">
        <v>128.6</v>
      </c>
      <c r="Y141">
        <v>126.4</v>
      </c>
      <c r="Z141">
        <v>122.6</v>
      </c>
      <c r="AA141">
        <v>132.80000000000001</v>
      </c>
      <c r="AB141">
        <v>124</v>
      </c>
      <c r="AC141">
        <v>115.7</v>
      </c>
      <c r="AD141">
        <v>123.8</v>
      </c>
      <c r="AE141">
        <v>131.19999999999999</v>
      </c>
    </row>
    <row r="142" spans="1:31" x14ac:dyDescent="0.3">
      <c r="A142" t="s">
        <v>29</v>
      </c>
      <c r="B142">
        <v>2016</v>
      </c>
      <c r="C142" t="s">
        <v>41</v>
      </c>
      <c r="D142">
        <f t="shared" si="3"/>
        <v>11</v>
      </c>
      <c r="E142">
        <v>130.19999999999999</v>
      </c>
      <c r="F142">
        <v>138.5</v>
      </c>
      <c r="G142">
        <v>134.1</v>
      </c>
      <c r="H142">
        <v>132.9</v>
      </c>
      <c r="I142">
        <v>112.6</v>
      </c>
      <c r="J142">
        <v>130.80000000000001</v>
      </c>
      <c r="K142">
        <v>142</v>
      </c>
      <c r="L142">
        <v>174.9</v>
      </c>
      <c r="M142">
        <v>115.6</v>
      </c>
      <c r="N142">
        <v>145.4</v>
      </c>
      <c r="O142">
        <v>122.7</v>
      </c>
      <c r="P142">
        <v>140.30000000000001</v>
      </c>
      <c r="Q142">
        <v>135.19999999999999</v>
      </c>
      <c r="R142">
        <v>144.30000000000001</v>
      </c>
      <c r="S142">
        <v>129.6</v>
      </c>
      <c r="T142">
        <v>122.1</v>
      </c>
      <c r="U142">
        <v>128.5</v>
      </c>
      <c r="V142">
        <v>129.1</v>
      </c>
      <c r="W142">
        <v>116.2</v>
      </c>
      <c r="X142">
        <v>124.7</v>
      </c>
      <c r="Y142">
        <v>122.1</v>
      </c>
      <c r="Z142">
        <v>121.3</v>
      </c>
      <c r="AA142">
        <v>132.1</v>
      </c>
      <c r="AB142">
        <v>121.7</v>
      </c>
      <c r="AC142">
        <v>113.4</v>
      </c>
      <c r="AD142">
        <v>121.3</v>
      </c>
      <c r="AE142">
        <v>128.5</v>
      </c>
    </row>
    <row r="143" spans="1:31" x14ac:dyDescent="0.3">
      <c r="A143" t="s">
        <v>27</v>
      </c>
      <c r="B143">
        <v>2016</v>
      </c>
      <c r="C143" t="s">
        <v>42</v>
      </c>
      <c r="D143">
        <f t="shared" si="3"/>
        <v>12</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s="2">
        <f>'Missing values'!V358</f>
        <v>128.5</v>
      </c>
      <c r="W143">
        <v>132</v>
      </c>
      <c r="X143">
        <v>132.9</v>
      </c>
      <c r="Y143">
        <v>129.69999999999999</v>
      </c>
      <c r="Z143">
        <v>121.9</v>
      </c>
      <c r="AA143">
        <v>134.19999999999999</v>
      </c>
      <c r="AB143">
        <v>127.3</v>
      </c>
      <c r="AC143">
        <v>118.6</v>
      </c>
      <c r="AD143">
        <v>126.3</v>
      </c>
      <c r="AE143">
        <v>132.80000000000001</v>
      </c>
    </row>
    <row r="144" spans="1:31" x14ac:dyDescent="0.3">
      <c r="A144" t="s">
        <v>30</v>
      </c>
      <c r="B144">
        <v>2016</v>
      </c>
      <c r="C144" t="s">
        <v>42</v>
      </c>
      <c r="D144">
        <f t="shared" si="3"/>
        <v>12</v>
      </c>
      <c r="E144">
        <v>132.30000000000001</v>
      </c>
      <c r="F144">
        <v>137.6</v>
      </c>
      <c r="G144">
        <v>132.9</v>
      </c>
      <c r="H144">
        <v>135.1</v>
      </c>
      <c r="I144">
        <v>118.6</v>
      </c>
      <c r="J144">
        <v>132.69999999999999</v>
      </c>
      <c r="K144">
        <v>125.3</v>
      </c>
      <c r="L144">
        <v>168.7</v>
      </c>
      <c r="M144">
        <v>114.4</v>
      </c>
      <c r="N144">
        <v>140.19999999999999</v>
      </c>
      <c r="O144">
        <v>126.6</v>
      </c>
      <c r="P144">
        <v>142.30000000000001</v>
      </c>
      <c r="Q144">
        <v>134</v>
      </c>
      <c r="R144">
        <v>143.1</v>
      </c>
      <c r="S144">
        <v>136.30000000000001</v>
      </c>
      <c r="T144">
        <v>129.80000000000001</v>
      </c>
      <c r="U144">
        <v>135.4</v>
      </c>
      <c r="V144">
        <v>128.5</v>
      </c>
      <c r="W144">
        <v>126.6</v>
      </c>
      <c r="X144">
        <v>129.19999999999999</v>
      </c>
      <c r="Y144">
        <v>126.9</v>
      </c>
      <c r="Z144">
        <v>121.1</v>
      </c>
      <c r="AA144">
        <v>133.1</v>
      </c>
      <c r="AB144">
        <v>124.2</v>
      </c>
      <c r="AC144">
        <v>116</v>
      </c>
      <c r="AD144">
        <v>123.9</v>
      </c>
      <c r="AE144">
        <v>130.4</v>
      </c>
    </row>
    <row r="145" spans="1:31" x14ac:dyDescent="0.3">
      <c r="A145" t="s">
        <v>29</v>
      </c>
      <c r="B145">
        <v>2016</v>
      </c>
      <c r="C145" t="s">
        <v>42</v>
      </c>
      <c r="D145">
        <f t="shared" si="3"/>
        <v>12</v>
      </c>
      <c r="E145">
        <v>131.6</v>
      </c>
      <c r="F145">
        <v>138.19999999999999</v>
      </c>
      <c r="G145">
        <v>134.9</v>
      </c>
      <c r="H145">
        <v>133.1</v>
      </c>
      <c r="I145">
        <v>113.5</v>
      </c>
      <c r="J145">
        <v>129.30000000000001</v>
      </c>
      <c r="K145">
        <v>121.1</v>
      </c>
      <c r="L145">
        <v>170.3</v>
      </c>
      <c r="M145">
        <v>115.5</v>
      </c>
      <c r="N145">
        <v>145.5</v>
      </c>
      <c r="O145">
        <v>123.1</v>
      </c>
      <c r="P145">
        <v>140.9</v>
      </c>
      <c r="Q145">
        <v>132.80000000000001</v>
      </c>
      <c r="R145">
        <v>145</v>
      </c>
      <c r="S145">
        <v>130</v>
      </c>
      <c r="T145">
        <v>122.2</v>
      </c>
      <c r="U145">
        <v>128.80000000000001</v>
      </c>
      <c r="V145">
        <v>128.5</v>
      </c>
      <c r="W145">
        <v>117.8</v>
      </c>
      <c r="X145">
        <v>125</v>
      </c>
      <c r="Y145">
        <v>122.3</v>
      </c>
      <c r="Z145">
        <v>119.9</v>
      </c>
      <c r="AA145">
        <v>132.30000000000001</v>
      </c>
      <c r="AB145">
        <v>121.8</v>
      </c>
      <c r="AC145">
        <v>113.7</v>
      </c>
      <c r="AD145">
        <v>121.4</v>
      </c>
      <c r="AE145">
        <v>127.6</v>
      </c>
    </row>
    <row r="146" spans="1:31" x14ac:dyDescent="0.3">
      <c r="A146" t="s">
        <v>27</v>
      </c>
      <c r="B146">
        <v>2017</v>
      </c>
      <c r="C146" t="s">
        <v>28</v>
      </c>
      <c r="D146">
        <f t="shared" si="3"/>
        <v>1</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s="2">
        <f>'Missing values'!V19</f>
        <v>129.6</v>
      </c>
      <c r="W146">
        <v>132.1</v>
      </c>
      <c r="X146">
        <v>133.19999999999999</v>
      </c>
      <c r="Y146">
        <v>129.9</v>
      </c>
      <c r="Z146">
        <v>122.3</v>
      </c>
      <c r="AA146">
        <v>134.6</v>
      </c>
      <c r="AB146">
        <v>127</v>
      </c>
      <c r="AC146">
        <v>119.1</v>
      </c>
      <c r="AD146">
        <v>126.6</v>
      </c>
      <c r="AE146">
        <v>132.4</v>
      </c>
    </row>
    <row r="147" spans="1:31" x14ac:dyDescent="0.3">
      <c r="A147" t="s">
        <v>30</v>
      </c>
      <c r="B147">
        <v>2017</v>
      </c>
      <c r="C147" t="s">
        <v>28</v>
      </c>
      <c r="D147">
        <f t="shared" si="3"/>
        <v>1</v>
      </c>
      <c r="E147">
        <v>132.80000000000001</v>
      </c>
      <c r="F147">
        <v>138.19999999999999</v>
      </c>
      <c r="G147">
        <v>132.19999999999999</v>
      </c>
      <c r="H147">
        <v>135.4</v>
      </c>
      <c r="I147">
        <v>119.1</v>
      </c>
      <c r="J147">
        <v>133</v>
      </c>
      <c r="K147">
        <v>119.4</v>
      </c>
      <c r="L147">
        <v>159.5</v>
      </c>
      <c r="M147">
        <v>115.6</v>
      </c>
      <c r="N147">
        <v>139.6</v>
      </c>
      <c r="O147">
        <v>126.6</v>
      </c>
      <c r="P147">
        <v>142.80000000000001</v>
      </c>
      <c r="Q147">
        <v>133.1</v>
      </c>
      <c r="R147">
        <v>143.80000000000001</v>
      </c>
      <c r="S147">
        <v>136.6</v>
      </c>
      <c r="T147">
        <v>130.19999999999999</v>
      </c>
      <c r="U147">
        <v>135.6</v>
      </c>
      <c r="V147">
        <v>129.6</v>
      </c>
      <c r="W147">
        <v>126.8</v>
      </c>
      <c r="X147">
        <v>129.4</v>
      </c>
      <c r="Y147">
        <v>127.1</v>
      </c>
      <c r="Z147">
        <v>121.7</v>
      </c>
      <c r="AA147">
        <v>133.30000000000001</v>
      </c>
      <c r="AB147">
        <v>124.2</v>
      </c>
      <c r="AC147">
        <v>117</v>
      </c>
      <c r="AD147">
        <v>124.4</v>
      </c>
      <c r="AE147">
        <v>130.30000000000001</v>
      </c>
    </row>
    <row r="148" spans="1:31" x14ac:dyDescent="0.3">
      <c r="A148" t="s">
        <v>29</v>
      </c>
      <c r="B148">
        <v>2017</v>
      </c>
      <c r="C148" t="s">
        <v>28</v>
      </c>
      <c r="D148">
        <f t="shared" si="3"/>
        <v>1</v>
      </c>
      <c r="E148">
        <v>132.19999999999999</v>
      </c>
      <c r="F148">
        <v>138.9</v>
      </c>
      <c r="G148">
        <v>132.6</v>
      </c>
      <c r="H148">
        <v>133.1</v>
      </c>
      <c r="I148">
        <v>114</v>
      </c>
      <c r="J148">
        <v>129.6</v>
      </c>
      <c r="K148">
        <v>118.7</v>
      </c>
      <c r="L148">
        <v>155.1</v>
      </c>
      <c r="M148">
        <v>117.3</v>
      </c>
      <c r="N148">
        <v>144.9</v>
      </c>
      <c r="O148">
        <v>123.2</v>
      </c>
      <c r="P148">
        <v>141.6</v>
      </c>
      <c r="Q148">
        <v>132</v>
      </c>
      <c r="R148">
        <v>145.6</v>
      </c>
      <c r="S148">
        <v>130.19999999999999</v>
      </c>
      <c r="T148">
        <v>122.3</v>
      </c>
      <c r="U148">
        <v>129</v>
      </c>
      <c r="V148">
        <v>129.6</v>
      </c>
      <c r="W148">
        <v>118</v>
      </c>
      <c r="X148">
        <v>125.1</v>
      </c>
      <c r="Y148">
        <v>122.6</v>
      </c>
      <c r="Z148">
        <v>120.9</v>
      </c>
      <c r="AA148">
        <v>132.4</v>
      </c>
      <c r="AB148">
        <v>122</v>
      </c>
      <c r="AC148">
        <v>115.2</v>
      </c>
      <c r="AD148">
        <v>122.1</v>
      </c>
      <c r="AE148">
        <v>127.8</v>
      </c>
    </row>
    <row r="149" spans="1:31" x14ac:dyDescent="0.3">
      <c r="A149" t="s">
        <v>27</v>
      </c>
      <c r="B149">
        <v>2017</v>
      </c>
      <c r="C149" t="s">
        <v>31</v>
      </c>
      <c r="D149">
        <f t="shared" si="3"/>
        <v>2</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s="2">
        <f>'Missing values'!V52</f>
        <v>130.5</v>
      </c>
      <c r="W149">
        <v>133.19999999999999</v>
      </c>
      <c r="X149">
        <v>133.6</v>
      </c>
      <c r="Y149">
        <v>130.1</v>
      </c>
      <c r="Z149">
        <v>123.2</v>
      </c>
      <c r="AA149">
        <v>134.9</v>
      </c>
      <c r="AB149">
        <v>127.7</v>
      </c>
      <c r="AC149">
        <v>119.5</v>
      </c>
      <c r="AD149">
        <v>127</v>
      </c>
      <c r="AE149">
        <v>132.6</v>
      </c>
    </row>
    <row r="150" spans="1:31" x14ac:dyDescent="0.3">
      <c r="A150" t="s">
        <v>30</v>
      </c>
      <c r="B150">
        <v>2017</v>
      </c>
      <c r="C150" t="s">
        <v>31</v>
      </c>
      <c r="D150">
        <f t="shared" si="3"/>
        <v>2</v>
      </c>
      <c r="E150">
        <v>133.1</v>
      </c>
      <c r="F150">
        <v>138.80000000000001</v>
      </c>
      <c r="G150">
        <v>129.30000000000001</v>
      </c>
      <c r="H150">
        <v>135.80000000000001</v>
      </c>
      <c r="I150">
        <v>119.2</v>
      </c>
      <c r="J150">
        <v>135.30000000000001</v>
      </c>
      <c r="K150">
        <v>119.5</v>
      </c>
      <c r="L150">
        <v>152.19999999999999</v>
      </c>
      <c r="M150">
        <v>117.3</v>
      </c>
      <c r="N150">
        <v>138.69999999999999</v>
      </c>
      <c r="O150">
        <v>126.9</v>
      </c>
      <c r="P150">
        <v>143.19999999999999</v>
      </c>
      <c r="Q150">
        <v>133</v>
      </c>
      <c r="R150">
        <v>144.4</v>
      </c>
      <c r="S150">
        <v>136.80000000000001</v>
      </c>
      <c r="T150">
        <v>130.30000000000001</v>
      </c>
      <c r="U150">
        <v>135.9</v>
      </c>
      <c r="V150">
        <v>130.5</v>
      </c>
      <c r="W150">
        <v>127.9</v>
      </c>
      <c r="X150">
        <v>129.69999999999999</v>
      </c>
      <c r="Y150">
        <v>127.4</v>
      </c>
      <c r="Z150">
        <v>122.6</v>
      </c>
      <c r="AA150">
        <v>133.4</v>
      </c>
      <c r="AB150">
        <v>124.6</v>
      </c>
      <c r="AC150">
        <v>117.4</v>
      </c>
      <c r="AD150">
        <v>124.8</v>
      </c>
      <c r="AE150">
        <v>130.6</v>
      </c>
    </row>
    <row r="151" spans="1:31" x14ac:dyDescent="0.3">
      <c r="A151" t="s">
        <v>29</v>
      </c>
      <c r="B151">
        <v>2017</v>
      </c>
      <c r="C151" t="s">
        <v>31</v>
      </c>
      <c r="D151">
        <f t="shared" si="3"/>
        <v>2</v>
      </c>
      <c r="E151">
        <v>132.80000000000001</v>
      </c>
      <c r="F151">
        <v>139.80000000000001</v>
      </c>
      <c r="G151">
        <v>129.30000000000001</v>
      </c>
      <c r="H151">
        <v>133.5</v>
      </c>
      <c r="I151">
        <v>114.3</v>
      </c>
      <c r="J151">
        <v>131.4</v>
      </c>
      <c r="K151">
        <v>120.2</v>
      </c>
      <c r="L151">
        <v>143.1</v>
      </c>
      <c r="M151">
        <v>119.5</v>
      </c>
      <c r="N151">
        <v>144</v>
      </c>
      <c r="O151">
        <v>123.4</v>
      </c>
      <c r="P151">
        <v>141.9</v>
      </c>
      <c r="Q151">
        <v>132.1</v>
      </c>
      <c r="R151">
        <v>146.30000000000001</v>
      </c>
      <c r="S151">
        <v>130.5</v>
      </c>
      <c r="T151">
        <v>122.5</v>
      </c>
      <c r="U151">
        <v>129.30000000000001</v>
      </c>
      <c r="V151">
        <v>130.5</v>
      </c>
      <c r="W151">
        <v>119.2</v>
      </c>
      <c r="X151">
        <v>125.3</v>
      </c>
      <c r="Y151">
        <v>122.9</v>
      </c>
      <c r="Z151">
        <v>121.7</v>
      </c>
      <c r="AA151">
        <v>132.4</v>
      </c>
      <c r="AB151">
        <v>122.2</v>
      </c>
      <c r="AC151">
        <v>115.5</v>
      </c>
      <c r="AD151">
        <v>122.4</v>
      </c>
      <c r="AE151">
        <v>128.19999999999999</v>
      </c>
    </row>
    <row r="152" spans="1:31" x14ac:dyDescent="0.3">
      <c r="A152" t="s">
        <v>27</v>
      </c>
      <c r="B152">
        <v>2017</v>
      </c>
      <c r="C152" t="s">
        <v>32</v>
      </c>
      <c r="D152">
        <f t="shared" si="3"/>
        <v>3</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s="2">
        <f>'Missing values'!V85</f>
        <v>131.1</v>
      </c>
      <c r="W152">
        <v>134.19999999999999</v>
      </c>
      <c r="X152">
        <v>134.1</v>
      </c>
      <c r="Y152">
        <v>130.6</v>
      </c>
      <c r="Z152">
        <v>123.3</v>
      </c>
      <c r="AA152">
        <v>135.19999999999999</v>
      </c>
      <c r="AB152">
        <v>128.30000000000001</v>
      </c>
      <c r="AC152">
        <v>119.8</v>
      </c>
      <c r="AD152">
        <v>127.4</v>
      </c>
      <c r="AE152">
        <v>132.80000000000001</v>
      </c>
    </row>
    <row r="153" spans="1:31" x14ac:dyDescent="0.3">
      <c r="A153" t="s">
        <v>30</v>
      </c>
      <c r="B153">
        <v>2017</v>
      </c>
      <c r="C153" t="s">
        <v>32</v>
      </c>
      <c r="D153">
        <f t="shared" si="3"/>
        <v>3</v>
      </c>
      <c r="E153">
        <v>133.30000000000001</v>
      </c>
      <c r="F153">
        <v>139</v>
      </c>
      <c r="G153">
        <v>128.6</v>
      </c>
      <c r="H153">
        <v>136.30000000000001</v>
      </c>
      <c r="I153">
        <v>118.8</v>
      </c>
      <c r="J153">
        <v>138.30000000000001</v>
      </c>
      <c r="K153">
        <v>120.5</v>
      </c>
      <c r="L153">
        <v>143.9</v>
      </c>
      <c r="M153">
        <v>118</v>
      </c>
      <c r="N153">
        <v>137.9</v>
      </c>
      <c r="O153">
        <v>127.2</v>
      </c>
      <c r="P153">
        <v>144</v>
      </c>
      <c r="Q153">
        <v>133.1</v>
      </c>
      <c r="R153">
        <v>145.1</v>
      </c>
      <c r="S153">
        <v>137.30000000000001</v>
      </c>
      <c r="T153">
        <v>130.6</v>
      </c>
      <c r="U153">
        <v>136.4</v>
      </c>
      <c r="V153">
        <v>131.1</v>
      </c>
      <c r="W153">
        <v>129.1</v>
      </c>
      <c r="X153">
        <v>130.1</v>
      </c>
      <c r="Y153">
        <v>127.8</v>
      </c>
      <c r="Z153">
        <v>122.6</v>
      </c>
      <c r="AA153">
        <v>133.80000000000001</v>
      </c>
      <c r="AB153">
        <v>125</v>
      </c>
      <c r="AC153">
        <v>117.6</v>
      </c>
      <c r="AD153">
        <v>125.1</v>
      </c>
      <c r="AE153">
        <v>130.9</v>
      </c>
    </row>
    <row r="154" spans="1:31" x14ac:dyDescent="0.3">
      <c r="A154" t="s">
        <v>29</v>
      </c>
      <c r="B154">
        <v>2017</v>
      </c>
      <c r="C154" t="s">
        <v>32</v>
      </c>
      <c r="D154">
        <f t="shared" si="3"/>
        <v>3</v>
      </c>
      <c r="E154">
        <v>132.69999999999999</v>
      </c>
      <c r="F154">
        <v>139.4</v>
      </c>
      <c r="G154">
        <v>128.4</v>
      </c>
      <c r="H154">
        <v>134.9</v>
      </c>
      <c r="I154">
        <v>114</v>
      </c>
      <c r="J154">
        <v>136.80000000000001</v>
      </c>
      <c r="K154">
        <v>122.2</v>
      </c>
      <c r="L154">
        <v>135.80000000000001</v>
      </c>
      <c r="M154">
        <v>120.3</v>
      </c>
      <c r="N154">
        <v>142.6</v>
      </c>
      <c r="O154">
        <v>123.6</v>
      </c>
      <c r="P154">
        <v>142.4</v>
      </c>
      <c r="Q154">
        <v>132.6</v>
      </c>
      <c r="R154">
        <v>147.5</v>
      </c>
      <c r="S154">
        <v>130.80000000000001</v>
      </c>
      <c r="T154">
        <v>122.8</v>
      </c>
      <c r="U154">
        <v>129.6</v>
      </c>
      <c r="V154">
        <v>131.1</v>
      </c>
      <c r="W154">
        <v>120.8</v>
      </c>
      <c r="X154">
        <v>125.6</v>
      </c>
      <c r="Y154">
        <v>123.1</v>
      </c>
      <c r="Z154">
        <v>121.7</v>
      </c>
      <c r="AA154">
        <v>132.80000000000001</v>
      </c>
      <c r="AB154">
        <v>122.4</v>
      </c>
      <c r="AC154">
        <v>115.6</v>
      </c>
      <c r="AD154">
        <v>122.6</v>
      </c>
      <c r="AE154">
        <v>128.69999999999999</v>
      </c>
    </row>
    <row r="155" spans="1:31" x14ac:dyDescent="0.3">
      <c r="A155" t="s">
        <v>27</v>
      </c>
      <c r="B155">
        <v>2017</v>
      </c>
      <c r="C155" t="s">
        <v>33</v>
      </c>
      <c r="D155">
        <f t="shared" si="3"/>
        <v>4</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s="2">
        <f>'Missing values'!V118</f>
        <v>131.69999999999999</v>
      </c>
      <c r="W155">
        <v>135</v>
      </c>
      <c r="X155">
        <v>134.30000000000001</v>
      </c>
      <c r="Y155">
        <v>131</v>
      </c>
      <c r="Z155">
        <v>123.7</v>
      </c>
      <c r="AA155">
        <v>135.69999999999999</v>
      </c>
      <c r="AB155">
        <v>128.30000000000001</v>
      </c>
      <c r="AC155">
        <v>119.2</v>
      </c>
      <c r="AD155">
        <v>127.5</v>
      </c>
      <c r="AE155">
        <v>132.9</v>
      </c>
    </row>
    <row r="156" spans="1:31" x14ac:dyDescent="0.3">
      <c r="A156" t="s">
        <v>30</v>
      </c>
      <c r="B156">
        <v>2017</v>
      </c>
      <c r="C156" t="s">
        <v>33</v>
      </c>
      <c r="D156">
        <f t="shared" si="3"/>
        <v>4</v>
      </c>
      <c r="E156">
        <v>133</v>
      </c>
      <c r="F156">
        <v>139.4</v>
      </c>
      <c r="G156">
        <v>126.1</v>
      </c>
      <c r="H156">
        <v>137.19999999999999</v>
      </c>
      <c r="I156">
        <v>118.4</v>
      </c>
      <c r="J156">
        <v>139.9</v>
      </c>
      <c r="K156">
        <v>123.4</v>
      </c>
      <c r="L156">
        <v>140.9</v>
      </c>
      <c r="M156">
        <v>118.5</v>
      </c>
      <c r="N156">
        <v>136.5</v>
      </c>
      <c r="O156">
        <v>127.4</v>
      </c>
      <c r="P156">
        <v>144.19999999999999</v>
      </c>
      <c r="Q156">
        <v>133.5</v>
      </c>
      <c r="R156">
        <v>145.4</v>
      </c>
      <c r="S156">
        <v>138</v>
      </c>
      <c r="T156">
        <v>131.1</v>
      </c>
      <c r="U156">
        <v>137</v>
      </c>
      <c r="V156">
        <v>131.69999999999999</v>
      </c>
      <c r="W156">
        <v>129.80000000000001</v>
      </c>
      <c r="X156">
        <v>130.4</v>
      </c>
      <c r="Y156">
        <v>128.1</v>
      </c>
      <c r="Z156">
        <v>123.1</v>
      </c>
      <c r="AA156">
        <v>134.5</v>
      </c>
      <c r="AB156">
        <v>125.1</v>
      </c>
      <c r="AC156">
        <v>116.6</v>
      </c>
      <c r="AD156">
        <v>125.1</v>
      </c>
      <c r="AE156">
        <v>131.1</v>
      </c>
    </row>
    <row r="157" spans="1:31" x14ac:dyDescent="0.3">
      <c r="A157" t="s">
        <v>29</v>
      </c>
      <c r="B157">
        <v>2017</v>
      </c>
      <c r="C157" t="s">
        <v>33</v>
      </c>
      <c r="D157">
        <f t="shared" si="3"/>
        <v>4</v>
      </c>
      <c r="E157">
        <v>132.69999999999999</v>
      </c>
      <c r="F157">
        <v>140.6</v>
      </c>
      <c r="G157">
        <v>124.5</v>
      </c>
      <c r="H157">
        <v>136.30000000000001</v>
      </c>
      <c r="I157">
        <v>113.5</v>
      </c>
      <c r="J157">
        <v>137.69999999999999</v>
      </c>
      <c r="K157">
        <v>127.1</v>
      </c>
      <c r="L157">
        <v>133.80000000000001</v>
      </c>
      <c r="M157">
        <v>120.8</v>
      </c>
      <c r="N157">
        <v>141.30000000000001</v>
      </c>
      <c r="O157">
        <v>123.8</v>
      </c>
      <c r="P157">
        <v>142.6</v>
      </c>
      <c r="Q157">
        <v>133.4</v>
      </c>
      <c r="R157">
        <v>148</v>
      </c>
      <c r="S157">
        <v>131.19999999999999</v>
      </c>
      <c r="T157">
        <v>123</v>
      </c>
      <c r="U157">
        <v>130</v>
      </c>
      <c r="V157">
        <v>131.69999999999999</v>
      </c>
      <c r="W157">
        <v>121.4</v>
      </c>
      <c r="X157">
        <v>126</v>
      </c>
      <c r="Y157">
        <v>123.4</v>
      </c>
      <c r="Z157">
        <v>122.2</v>
      </c>
      <c r="AA157">
        <v>133.6</v>
      </c>
      <c r="AB157">
        <v>122.6</v>
      </c>
      <c r="AC157">
        <v>114.3</v>
      </c>
      <c r="AD157">
        <v>122.5</v>
      </c>
      <c r="AE157">
        <v>129.1</v>
      </c>
    </row>
    <row r="158" spans="1:31" x14ac:dyDescent="0.3">
      <c r="A158" t="s">
        <v>27</v>
      </c>
      <c r="B158">
        <v>2017</v>
      </c>
      <c r="C158" t="s">
        <v>34</v>
      </c>
      <c r="D158">
        <f t="shared" si="3"/>
        <v>5</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s="2">
        <f>'Missing values'!V148</f>
        <v>132.1</v>
      </c>
      <c r="W158">
        <v>135</v>
      </c>
      <c r="X158">
        <v>134.9</v>
      </c>
      <c r="Y158">
        <v>131.4</v>
      </c>
      <c r="Z158">
        <v>123.7</v>
      </c>
      <c r="AA158">
        <v>136.30000000000001</v>
      </c>
      <c r="AB158">
        <v>129.4</v>
      </c>
      <c r="AC158">
        <v>119.4</v>
      </c>
      <c r="AD158">
        <v>127.9</v>
      </c>
      <c r="AE158">
        <v>133.30000000000001</v>
      </c>
    </row>
    <row r="159" spans="1:31" x14ac:dyDescent="0.3">
      <c r="A159" t="s">
        <v>30</v>
      </c>
      <c r="B159">
        <v>2017</v>
      </c>
      <c r="C159" t="s">
        <v>34</v>
      </c>
      <c r="D159">
        <f t="shared" si="3"/>
        <v>5</v>
      </c>
      <c r="E159">
        <v>132.9</v>
      </c>
      <c r="F159">
        <v>141.6</v>
      </c>
      <c r="G159">
        <v>126.3</v>
      </c>
      <c r="H159">
        <v>137.69999999999999</v>
      </c>
      <c r="I159">
        <v>118.1</v>
      </c>
      <c r="J159">
        <v>137.9</v>
      </c>
      <c r="K159">
        <v>125.6</v>
      </c>
      <c r="L159">
        <v>138.30000000000001</v>
      </c>
      <c r="M159">
        <v>119.4</v>
      </c>
      <c r="N159">
        <v>136</v>
      </c>
      <c r="O159">
        <v>127.6</v>
      </c>
      <c r="P159">
        <v>144.5</v>
      </c>
      <c r="Q159">
        <v>133.69999999999999</v>
      </c>
      <c r="R159">
        <v>146.19999999999999</v>
      </c>
      <c r="S159">
        <v>138.19999999999999</v>
      </c>
      <c r="T159">
        <v>131.4</v>
      </c>
      <c r="U159">
        <v>137.19999999999999</v>
      </c>
      <c r="V159">
        <v>132.1</v>
      </c>
      <c r="W159">
        <v>129.4</v>
      </c>
      <c r="X159">
        <v>130.9</v>
      </c>
      <c r="Y159">
        <v>128.4</v>
      </c>
      <c r="Z159">
        <v>123</v>
      </c>
      <c r="AA159">
        <v>134.80000000000001</v>
      </c>
      <c r="AB159">
        <v>125.7</v>
      </c>
      <c r="AC159">
        <v>116.7</v>
      </c>
      <c r="AD159">
        <v>125.3</v>
      </c>
      <c r="AE159">
        <v>131.4</v>
      </c>
    </row>
    <row r="160" spans="1:31" x14ac:dyDescent="0.3">
      <c r="A160" t="s">
        <v>29</v>
      </c>
      <c r="B160">
        <v>2017</v>
      </c>
      <c r="C160" t="s">
        <v>34</v>
      </c>
      <c r="D160">
        <f t="shared" si="3"/>
        <v>5</v>
      </c>
      <c r="E160">
        <v>132.6</v>
      </c>
      <c r="F160">
        <v>144.1</v>
      </c>
      <c r="G160">
        <v>125.6</v>
      </c>
      <c r="H160">
        <v>136.80000000000001</v>
      </c>
      <c r="I160">
        <v>113.4</v>
      </c>
      <c r="J160">
        <v>135.19999999999999</v>
      </c>
      <c r="K160">
        <v>129.19999999999999</v>
      </c>
      <c r="L160">
        <v>131.5</v>
      </c>
      <c r="M160">
        <v>121</v>
      </c>
      <c r="N160">
        <v>139.9</v>
      </c>
      <c r="O160">
        <v>123.8</v>
      </c>
      <c r="P160">
        <v>142.9</v>
      </c>
      <c r="Q160">
        <v>133.6</v>
      </c>
      <c r="R160">
        <v>148.30000000000001</v>
      </c>
      <c r="S160">
        <v>131.5</v>
      </c>
      <c r="T160">
        <v>123.2</v>
      </c>
      <c r="U160">
        <v>130.19999999999999</v>
      </c>
      <c r="V160">
        <v>132.1</v>
      </c>
      <c r="W160">
        <v>120.1</v>
      </c>
      <c r="X160">
        <v>126.5</v>
      </c>
      <c r="Y160">
        <v>123.6</v>
      </c>
      <c r="Z160">
        <v>122</v>
      </c>
      <c r="AA160">
        <v>133.80000000000001</v>
      </c>
      <c r="AB160">
        <v>122.8</v>
      </c>
      <c r="AC160">
        <v>114.3</v>
      </c>
      <c r="AD160">
        <v>122.6</v>
      </c>
      <c r="AE160">
        <v>129.30000000000001</v>
      </c>
    </row>
    <row r="161" spans="1:31" x14ac:dyDescent="0.3">
      <c r="A161" t="s">
        <v>27</v>
      </c>
      <c r="B161">
        <v>2017</v>
      </c>
      <c r="C161" t="s">
        <v>35</v>
      </c>
      <c r="D161">
        <f t="shared" si="3"/>
        <v>6</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s="2">
        <f>'Missing values'!V181</f>
        <v>131.4</v>
      </c>
      <c r="W161">
        <v>134.80000000000001</v>
      </c>
      <c r="X161">
        <v>135.19999999999999</v>
      </c>
      <c r="Y161">
        <v>131.30000000000001</v>
      </c>
      <c r="Z161">
        <v>124.1</v>
      </c>
      <c r="AA161">
        <v>136.9</v>
      </c>
      <c r="AB161">
        <v>129.80000000000001</v>
      </c>
      <c r="AC161">
        <v>119.4</v>
      </c>
      <c r="AD161">
        <v>128.1</v>
      </c>
      <c r="AE161">
        <v>133.9</v>
      </c>
    </row>
    <row r="162" spans="1:31" x14ac:dyDescent="0.3">
      <c r="A162" t="s">
        <v>30</v>
      </c>
      <c r="B162">
        <v>2017</v>
      </c>
      <c r="C162" t="s">
        <v>35</v>
      </c>
      <c r="D162">
        <f t="shared" si="3"/>
        <v>6</v>
      </c>
      <c r="E162">
        <v>133.30000000000001</v>
      </c>
      <c r="F162">
        <v>145.5</v>
      </c>
      <c r="G162">
        <v>128.1</v>
      </c>
      <c r="H162">
        <v>138.1</v>
      </c>
      <c r="I162">
        <v>118.2</v>
      </c>
      <c r="J162">
        <v>139.19999999999999</v>
      </c>
      <c r="K162">
        <v>133.30000000000001</v>
      </c>
      <c r="L162">
        <v>136.19999999999999</v>
      </c>
      <c r="M162">
        <v>119.6</v>
      </c>
      <c r="N162">
        <v>135.30000000000001</v>
      </c>
      <c r="O162">
        <v>127.8</v>
      </c>
      <c r="P162">
        <v>144.9</v>
      </c>
      <c r="Q162">
        <v>135.19999999999999</v>
      </c>
      <c r="R162">
        <v>146.5</v>
      </c>
      <c r="S162">
        <v>138.5</v>
      </c>
      <c r="T162">
        <v>131.69999999999999</v>
      </c>
      <c r="U162">
        <v>137.5</v>
      </c>
      <c r="V162">
        <v>131.4</v>
      </c>
      <c r="W162">
        <v>128.80000000000001</v>
      </c>
      <c r="X162">
        <v>131.19999999999999</v>
      </c>
      <c r="Y162">
        <v>128.5</v>
      </c>
      <c r="Z162">
        <v>123.4</v>
      </c>
      <c r="AA162">
        <v>135.4</v>
      </c>
      <c r="AB162">
        <v>125.9</v>
      </c>
      <c r="AC162">
        <v>116.5</v>
      </c>
      <c r="AD162">
        <v>125.5</v>
      </c>
      <c r="AE162">
        <v>132</v>
      </c>
    </row>
    <row r="163" spans="1:31" x14ac:dyDescent="0.3">
      <c r="A163" t="s">
        <v>29</v>
      </c>
      <c r="B163">
        <v>2017</v>
      </c>
      <c r="C163" t="s">
        <v>35</v>
      </c>
      <c r="D163">
        <f t="shared" si="3"/>
        <v>6</v>
      </c>
      <c r="E163">
        <v>132.9</v>
      </c>
      <c r="F163">
        <v>148.69999999999999</v>
      </c>
      <c r="G163">
        <v>128.30000000000001</v>
      </c>
      <c r="H163">
        <v>137.30000000000001</v>
      </c>
      <c r="I163">
        <v>113.5</v>
      </c>
      <c r="J163">
        <v>137.19999999999999</v>
      </c>
      <c r="K163">
        <v>142.19999999999999</v>
      </c>
      <c r="L163">
        <v>128.19999999999999</v>
      </c>
      <c r="M163">
        <v>120.9</v>
      </c>
      <c r="N163">
        <v>138.80000000000001</v>
      </c>
      <c r="O163">
        <v>124.2</v>
      </c>
      <c r="P163">
        <v>143.1</v>
      </c>
      <c r="Q163">
        <v>135.69999999999999</v>
      </c>
      <c r="R163">
        <v>148.6</v>
      </c>
      <c r="S163">
        <v>131.5</v>
      </c>
      <c r="T163">
        <v>123.2</v>
      </c>
      <c r="U163">
        <v>130.19999999999999</v>
      </c>
      <c r="V163">
        <v>131.4</v>
      </c>
      <c r="W163">
        <v>119</v>
      </c>
      <c r="X163">
        <v>126.8</v>
      </c>
      <c r="Y163">
        <v>123.8</v>
      </c>
      <c r="Z163">
        <v>122.5</v>
      </c>
      <c r="AA163">
        <v>134.30000000000001</v>
      </c>
      <c r="AB163">
        <v>122.9</v>
      </c>
      <c r="AC163">
        <v>113.9</v>
      </c>
      <c r="AD163">
        <v>122.7</v>
      </c>
      <c r="AE163">
        <v>129.9</v>
      </c>
    </row>
    <row r="164" spans="1:31" x14ac:dyDescent="0.3">
      <c r="A164" t="s">
        <v>27</v>
      </c>
      <c r="B164">
        <v>2017</v>
      </c>
      <c r="C164" t="s">
        <v>36</v>
      </c>
      <c r="D164">
        <f t="shared" si="3"/>
        <v>7</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s="2">
        <f>'Missing values'!V211</f>
        <v>132.6</v>
      </c>
      <c r="W164">
        <v>135.30000000000001</v>
      </c>
      <c r="X164">
        <v>136.1</v>
      </c>
      <c r="Y164">
        <v>132.1</v>
      </c>
      <c r="Z164">
        <v>124.4</v>
      </c>
      <c r="AA164">
        <v>138.6</v>
      </c>
      <c r="AB164">
        <v>130.6</v>
      </c>
      <c r="AC164">
        <v>119.1</v>
      </c>
      <c r="AD164">
        <v>128.6</v>
      </c>
      <c r="AE164">
        <v>136.19999999999999</v>
      </c>
    </row>
    <row r="165" spans="1:31" x14ac:dyDescent="0.3">
      <c r="A165" t="s">
        <v>30</v>
      </c>
      <c r="B165">
        <v>2017</v>
      </c>
      <c r="C165" t="s">
        <v>36</v>
      </c>
      <c r="D165">
        <f t="shared" si="3"/>
        <v>7</v>
      </c>
      <c r="E165">
        <v>133.6</v>
      </c>
      <c r="F165">
        <v>145.69999999999999</v>
      </c>
      <c r="G165">
        <v>129.6</v>
      </c>
      <c r="H165">
        <v>138.5</v>
      </c>
      <c r="I165">
        <v>118.1</v>
      </c>
      <c r="J165">
        <v>141.80000000000001</v>
      </c>
      <c r="K165">
        <v>159.5</v>
      </c>
      <c r="L165">
        <v>133.6</v>
      </c>
      <c r="M165">
        <v>120.5</v>
      </c>
      <c r="N165">
        <v>135.19999999999999</v>
      </c>
      <c r="O165">
        <v>128.5</v>
      </c>
      <c r="P165">
        <v>145.80000000000001</v>
      </c>
      <c r="Q165">
        <v>139</v>
      </c>
      <c r="R165">
        <v>148.19999999999999</v>
      </c>
      <c r="S165">
        <v>139.30000000000001</v>
      </c>
      <c r="T165">
        <v>132.1</v>
      </c>
      <c r="U165">
        <v>138.30000000000001</v>
      </c>
      <c r="V165">
        <v>132.6</v>
      </c>
      <c r="W165">
        <v>129.4</v>
      </c>
      <c r="X165">
        <v>131.9</v>
      </c>
      <c r="Y165">
        <v>129.4</v>
      </c>
      <c r="Z165">
        <v>123.6</v>
      </c>
      <c r="AA165">
        <v>136.80000000000001</v>
      </c>
      <c r="AB165">
        <v>126.6</v>
      </c>
      <c r="AC165">
        <v>116</v>
      </c>
      <c r="AD165">
        <v>125.9</v>
      </c>
      <c r="AE165">
        <v>134.19999999999999</v>
      </c>
    </row>
    <row r="166" spans="1:31" x14ac:dyDescent="0.3">
      <c r="A166" t="s">
        <v>29</v>
      </c>
      <c r="B166">
        <v>2017</v>
      </c>
      <c r="C166" t="s">
        <v>36</v>
      </c>
      <c r="D166">
        <f t="shared" si="3"/>
        <v>7</v>
      </c>
      <c r="E166">
        <v>132.80000000000001</v>
      </c>
      <c r="F166">
        <v>148.4</v>
      </c>
      <c r="G166">
        <v>129.4</v>
      </c>
      <c r="H166">
        <v>137.69999999999999</v>
      </c>
      <c r="I166">
        <v>113.4</v>
      </c>
      <c r="J166">
        <v>139.4</v>
      </c>
      <c r="K166">
        <v>175.1</v>
      </c>
      <c r="L166">
        <v>124.7</v>
      </c>
      <c r="M166">
        <v>121.5</v>
      </c>
      <c r="N166">
        <v>137.80000000000001</v>
      </c>
      <c r="O166">
        <v>124.4</v>
      </c>
      <c r="P166">
        <v>143.69999999999999</v>
      </c>
      <c r="Q166">
        <v>139.80000000000001</v>
      </c>
      <c r="R166">
        <v>150.5</v>
      </c>
      <c r="S166">
        <v>131.6</v>
      </c>
      <c r="T166">
        <v>123.7</v>
      </c>
      <c r="U166">
        <v>130.4</v>
      </c>
      <c r="V166">
        <v>132.6</v>
      </c>
      <c r="W166">
        <v>119.7</v>
      </c>
      <c r="X166">
        <v>127.2</v>
      </c>
      <c r="Y166">
        <v>125</v>
      </c>
      <c r="Z166">
        <v>122.4</v>
      </c>
      <c r="AA166">
        <v>135.5</v>
      </c>
      <c r="AB166">
        <v>123.5</v>
      </c>
      <c r="AC166">
        <v>113.2</v>
      </c>
      <c r="AD166">
        <v>123</v>
      </c>
      <c r="AE166">
        <v>131.80000000000001</v>
      </c>
    </row>
    <row r="167" spans="1:31" x14ac:dyDescent="0.3">
      <c r="A167" t="s">
        <v>27</v>
      </c>
      <c r="B167">
        <v>2017</v>
      </c>
      <c r="C167" t="s">
        <v>37</v>
      </c>
      <c r="D167">
        <f t="shared" si="3"/>
        <v>8</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s="2">
        <f>'Missing values'!V241</f>
        <v>134.4</v>
      </c>
      <c r="W167">
        <v>136.4</v>
      </c>
      <c r="X167">
        <v>137.30000000000001</v>
      </c>
      <c r="Y167">
        <v>133</v>
      </c>
      <c r="Z167">
        <v>125.4</v>
      </c>
      <c r="AA167">
        <v>140.19999999999999</v>
      </c>
      <c r="AB167">
        <v>131.5</v>
      </c>
      <c r="AC167">
        <v>120.3</v>
      </c>
      <c r="AD167">
        <v>129.69999999999999</v>
      </c>
      <c r="AE167">
        <v>137.80000000000001</v>
      </c>
    </row>
    <row r="168" spans="1:31" x14ac:dyDescent="0.3">
      <c r="A168" t="s">
        <v>30</v>
      </c>
      <c r="B168">
        <v>2017</v>
      </c>
      <c r="C168" t="s">
        <v>37</v>
      </c>
      <c r="D168">
        <f t="shared" si="3"/>
        <v>8</v>
      </c>
      <c r="E168">
        <v>134.30000000000001</v>
      </c>
      <c r="F168">
        <v>143.4</v>
      </c>
      <c r="G168">
        <v>129.30000000000001</v>
      </c>
      <c r="H168">
        <v>139</v>
      </c>
      <c r="I168">
        <v>118.1</v>
      </c>
      <c r="J168">
        <v>145.5</v>
      </c>
      <c r="K168">
        <v>168.6</v>
      </c>
      <c r="L168">
        <v>132.69999999999999</v>
      </c>
      <c r="M168">
        <v>121.2</v>
      </c>
      <c r="N168">
        <v>135.6</v>
      </c>
      <c r="O168">
        <v>128.69999999999999</v>
      </c>
      <c r="P168">
        <v>146.80000000000001</v>
      </c>
      <c r="Q168">
        <v>140.6</v>
      </c>
      <c r="R168">
        <v>149.80000000000001</v>
      </c>
      <c r="S168">
        <v>140.30000000000001</v>
      </c>
      <c r="T168">
        <v>133</v>
      </c>
      <c r="U168">
        <v>139.30000000000001</v>
      </c>
      <c r="V168">
        <v>134.4</v>
      </c>
      <c r="W168">
        <v>129.80000000000001</v>
      </c>
      <c r="X168">
        <v>132.80000000000001</v>
      </c>
      <c r="Y168">
        <v>130.19999999999999</v>
      </c>
      <c r="Z168">
        <v>124.5</v>
      </c>
      <c r="AA168">
        <v>137.6</v>
      </c>
      <c r="AB168">
        <v>127.3</v>
      </c>
      <c r="AC168">
        <v>117.3</v>
      </c>
      <c r="AD168">
        <v>126.8</v>
      </c>
      <c r="AE168">
        <v>135.4</v>
      </c>
    </row>
    <row r="169" spans="1:31" x14ac:dyDescent="0.3">
      <c r="A169" t="s">
        <v>29</v>
      </c>
      <c r="B169">
        <v>2017</v>
      </c>
      <c r="C169" t="s">
        <v>37</v>
      </c>
      <c r="D169">
        <f t="shared" si="3"/>
        <v>8</v>
      </c>
      <c r="E169">
        <v>133.19999999999999</v>
      </c>
      <c r="F169">
        <v>143.9</v>
      </c>
      <c r="G169">
        <v>128.30000000000001</v>
      </c>
      <c r="H169">
        <v>138.30000000000001</v>
      </c>
      <c r="I169">
        <v>114.1</v>
      </c>
      <c r="J169">
        <v>142.69999999999999</v>
      </c>
      <c r="K169">
        <v>179.8</v>
      </c>
      <c r="L169">
        <v>123.5</v>
      </c>
      <c r="M169">
        <v>122.1</v>
      </c>
      <c r="N169">
        <v>137.5</v>
      </c>
      <c r="O169">
        <v>124.6</v>
      </c>
      <c r="P169">
        <v>144.5</v>
      </c>
      <c r="Q169">
        <v>140.5</v>
      </c>
      <c r="R169">
        <v>152.1</v>
      </c>
      <c r="S169">
        <v>132.69999999999999</v>
      </c>
      <c r="T169">
        <v>124.3</v>
      </c>
      <c r="U169">
        <v>131.4</v>
      </c>
      <c r="V169">
        <v>134.4</v>
      </c>
      <c r="W169">
        <v>118.9</v>
      </c>
      <c r="X169">
        <v>127.7</v>
      </c>
      <c r="Y169">
        <v>125.7</v>
      </c>
      <c r="Z169">
        <v>123.3</v>
      </c>
      <c r="AA169">
        <v>135.69999999999999</v>
      </c>
      <c r="AB169">
        <v>124.1</v>
      </c>
      <c r="AC169">
        <v>114.6</v>
      </c>
      <c r="AD169">
        <v>123.8</v>
      </c>
      <c r="AE169">
        <v>132.69999999999999</v>
      </c>
    </row>
    <row r="170" spans="1:31" x14ac:dyDescent="0.3">
      <c r="A170" t="s">
        <v>27</v>
      </c>
      <c r="B170">
        <v>2017</v>
      </c>
      <c r="C170" t="s">
        <v>38</v>
      </c>
      <c r="D170">
        <f t="shared" si="3"/>
        <v>9</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s="2">
        <f>'Missing values'!V271</f>
        <v>135.69999999999999</v>
      </c>
      <c r="W170">
        <v>137.4</v>
      </c>
      <c r="X170">
        <v>137.9</v>
      </c>
      <c r="Y170">
        <v>133.4</v>
      </c>
      <c r="Z170">
        <v>126.7</v>
      </c>
      <c r="AA170">
        <v>139.6</v>
      </c>
      <c r="AB170">
        <v>132.30000000000001</v>
      </c>
      <c r="AC170">
        <v>121.2</v>
      </c>
      <c r="AD170">
        <v>130.30000000000001</v>
      </c>
      <c r="AE170">
        <v>137.6</v>
      </c>
    </row>
    <row r="171" spans="1:31" x14ac:dyDescent="0.3">
      <c r="A171" t="s">
        <v>30</v>
      </c>
      <c r="B171">
        <v>2017</v>
      </c>
      <c r="C171" t="s">
        <v>38</v>
      </c>
      <c r="D171">
        <f t="shared" si="3"/>
        <v>9</v>
      </c>
      <c r="E171">
        <v>134.69999999999999</v>
      </c>
      <c r="F171">
        <v>142.4</v>
      </c>
      <c r="G171">
        <v>130.19999999999999</v>
      </c>
      <c r="H171">
        <v>139.6</v>
      </c>
      <c r="I171">
        <v>118.4</v>
      </c>
      <c r="J171">
        <v>143</v>
      </c>
      <c r="K171">
        <v>156.6</v>
      </c>
      <c r="L171">
        <v>132.9</v>
      </c>
      <c r="M171">
        <v>121.5</v>
      </c>
      <c r="N171">
        <v>135.6</v>
      </c>
      <c r="O171">
        <v>128.80000000000001</v>
      </c>
      <c r="P171">
        <v>147.30000000000001</v>
      </c>
      <c r="Q171">
        <v>139</v>
      </c>
      <c r="R171">
        <v>150.80000000000001</v>
      </c>
      <c r="S171">
        <v>141.1</v>
      </c>
      <c r="T171">
        <v>133.4</v>
      </c>
      <c r="U171">
        <v>140</v>
      </c>
      <c r="V171">
        <v>135.69999999999999</v>
      </c>
      <c r="W171">
        <v>131</v>
      </c>
      <c r="X171">
        <v>133.30000000000001</v>
      </c>
      <c r="Y171">
        <v>130.6</v>
      </c>
      <c r="Z171">
        <v>125.7</v>
      </c>
      <c r="AA171">
        <v>137.4</v>
      </c>
      <c r="AB171">
        <v>127.9</v>
      </c>
      <c r="AC171">
        <v>118.3</v>
      </c>
      <c r="AD171">
        <v>127.5</v>
      </c>
      <c r="AE171">
        <v>135.19999999999999</v>
      </c>
    </row>
    <row r="172" spans="1:31" x14ac:dyDescent="0.3">
      <c r="A172" t="s">
        <v>29</v>
      </c>
      <c r="B172">
        <v>2017</v>
      </c>
      <c r="C172" t="s">
        <v>38</v>
      </c>
      <c r="D172">
        <f t="shared" si="3"/>
        <v>9</v>
      </c>
      <c r="E172">
        <v>133.6</v>
      </c>
      <c r="F172">
        <v>143</v>
      </c>
      <c r="G172">
        <v>129.69999999999999</v>
      </c>
      <c r="H172">
        <v>138.69999999999999</v>
      </c>
      <c r="I172">
        <v>114.5</v>
      </c>
      <c r="J172">
        <v>137.5</v>
      </c>
      <c r="K172">
        <v>160.69999999999999</v>
      </c>
      <c r="L172">
        <v>124.5</v>
      </c>
      <c r="M172">
        <v>122.4</v>
      </c>
      <c r="N172">
        <v>137.30000000000001</v>
      </c>
      <c r="O172">
        <v>124.8</v>
      </c>
      <c r="P172">
        <v>145</v>
      </c>
      <c r="Q172">
        <v>138</v>
      </c>
      <c r="R172">
        <v>153.6</v>
      </c>
      <c r="S172">
        <v>133.30000000000001</v>
      </c>
      <c r="T172">
        <v>124.6</v>
      </c>
      <c r="U172">
        <v>132</v>
      </c>
      <c r="V172">
        <v>135.69999999999999</v>
      </c>
      <c r="W172">
        <v>120.6</v>
      </c>
      <c r="X172">
        <v>128.1</v>
      </c>
      <c r="Y172">
        <v>126.1</v>
      </c>
      <c r="Z172">
        <v>124.4</v>
      </c>
      <c r="AA172">
        <v>135.9</v>
      </c>
      <c r="AB172">
        <v>124.5</v>
      </c>
      <c r="AC172">
        <v>115.7</v>
      </c>
      <c r="AD172">
        <v>124.5</v>
      </c>
      <c r="AE172">
        <v>132.4</v>
      </c>
    </row>
    <row r="173" spans="1:31" x14ac:dyDescent="0.3">
      <c r="A173" t="s">
        <v>27</v>
      </c>
      <c r="B173">
        <v>2017</v>
      </c>
      <c r="C173" t="s">
        <v>39</v>
      </c>
      <c r="D173">
        <f t="shared" si="3"/>
        <v>10</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s="2">
        <f>'Missing values'!V301</f>
        <v>137.30000000000001</v>
      </c>
      <c r="W173">
        <v>138.1</v>
      </c>
      <c r="X173">
        <v>138.4</v>
      </c>
      <c r="Y173">
        <v>134.19999999999999</v>
      </c>
      <c r="Z173">
        <v>127.4</v>
      </c>
      <c r="AA173">
        <v>140.1</v>
      </c>
      <c r="AB173">
        <v>133</v>
      </c>
      <c r="AC173">
        <v>121</v>
      </c>
      <c r="AD173">
        <v>130.69999999999999</v>
      </c>
      <c r="AE173">
        <v>138.30000000000001</v>
      </c>
    </row>
    <row r="174" spans="1:31" x14ac:dyDescent="0.3">
      <c r="A174" t="s">
        <v>30</v>
      </c>
      <c r="B174">
        <v>2017</v>
      </c>
      <c r="C174" t="s">
        <v>39</v>
      </c>
      <c r="D174">
        <f t="shared" ref="D174:D237" si="4">IF(C174="January",1,
IF(C174="february",2,
IF(C174="march",3,
IF(C174="april",4,
IF(C174="may",5,
IF(C174="june",6,
IF(C174="july",7,
IF(C174="august",8,
IF(C174="september",9,
IF(C174="october",10,
IF(C174="november",11,
IF(C174="december",12,
))))))))))))</f>
        <v>10</v>
      </c>
      <c r="E174">
        <v>135.30000000000001</v>
      </c>
      <c r="F174">
        <v>142.19999999999999</v>
      </c>
      <c r="G174">
        <v>131.19999999999999</v>
      </c>
      <c r="H174">
        <v>140.6</v>
      </c>
      <c r="I174">
        <v>119</v>
      </c>
      <c r="J174">
        <v>141.5</v>
      </c>
      <c r="K174">
        <v>162.6</v>
      </c>
      <c r="L174">
        <v>132.30000000000001</v>
      </c>
      <c r="M174">
        <v>121.8</v>
      </c>
      <c r="N174">
        <v>136.30000000000001</v>
      </c>
      <c r="O174">
        <v>128.69999999999999</v>
      </c>
      <c r="P174">
        <v>148.1</v>
      </c>
      <c r="Q174">
        <v>140.1</v>
      </c>
      <c r="R174">
        <v>151.6</v>
      </c>
      <c r="S174">
        <v>142</v>
      </c>
      <c r="T174">
        <v>134.1</v>
      </c>
      <c r="U174">
        <v>140.80000000000001</v>
      </c>
      <c r="V174">
        <v>137.30000000000001</v>
      </c>
      <c r="W174">
        <v>132.19999999999999</v>
      </c>
      <c r="X174">
        <v>133.6</v>
      </c>
      <c r="Y174">
        <v>131.30000000000001</v>
      </c>
      <c r="Z174">
        <v>126.2</v>
      </c>
      <c r="AA174">
        <v>137.9</v>
      </c>
      <c r="AB174">
        <v>128.4</v>
      </c>
      <c r="AC174">
        <v>117.8</v>
      </c>
      <c r="AD174">
        <v>127.7</v>
      </c>
      <c r="AE174">
        <v>136.1</v>
      </c>
    </row>
    <row r="175" spans="1:31" x14ac:dyDescent="0.3">
      <c r="A175" t="s">
        <v>29</v>
      </c>
      <c r="B175">
        <v>2017</v>
      </c>
      <c r="C175" t="s">
        <v>39</v>
      </c>
      <c r="D175">
        <f t="shared" si="4"/>
        <v>10</v>
      </c>
      <c r="E175">
        <v>133.9</v>
      </c>
      <c r="F175">
        <v>142.80000000000001</v>
      </c>
      <c r="G175">
        <v>131.4</v>
      </c>
      <c r="H175">
        <v>139.1</v>
      </c>
      <c r="I175">
        <v>114.9</v>
      </c>
      <c r="J175">
        <v>135.6</v>
      </c>
      <c r="K175">
        <v>173.2</v>
      </c>
      <c r="L175">
        <v>124.1</v>
      </c>
      <c r="M175">
        <v>122.6</v>
      </c>
      <c r="N175">
        <v>137.80000000000001</v>
      </c>
      <c r="O175">
        <v>125.1</v>
      </c>
      <c r="P175">
        <v>145.5</v>
      </c>
      <c r="Q175">
        <v>139.69999999999999</v>
      </c>
      <c r="R175">
        <v>154.6</v>
      </c>
      <c r="S175">
        <v>134</v>
      </c>
      <c r="T175">
        <v>124.9</v>
      </c>
      <c r="U175">
        <v>132.6</v>
      </c>
      <c r="V175">
        <v>137.30000000000001</v>
      </c>
      <c r="W175">
        <v>122.6</v>
      </c>
      <c r="X175">
        <v>128.30000000000001</v>
      </c>
      <c r="Y175">
        <v>126.6</v>
      </c>
      <c r="Z175">
        <v>124.6</v>
      </c>
      <c r="AA175">
        <v>136.30000000000001</v>
      </c>
      <c r="AB175">
        <v>124.8</v>
      </c>
      <c r="AC175">
        <v>115</v>
      </c>
      <c r="AD175">
        <v>124.5</v>
      </c>
      <c r="AE175">
        <v>133.5</v>
      </c>
    </row>
    <row r="176" spans="1:31" x14ac:dyDescent="0.3">
      <c r="A176" t="s">
        <v>27</v>
      </c>
      <c r="B176">
        <v>2017</v>
      </c>
      <c r="C176" t="s">
        <v>41</v>
      </c>
      <c r="D176">
        <f t="shared" si="4"/>
        <v>11</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s="2">
        <f>'Missing values'!V331</f>
        <v>138.6</v>
      </c>
      <c r="W176">
        <v>141.1</v>
      </c>
      <c r="X176">
        <v>139.4</v>
      </c>
      <c r="Y176">
        <v>135.80000000000001</v>
      </c>
      <c r="Z176">
        <v>128.1</v>
      </c>
      <c r="AA176">
        <v>141.5</v>
      </c>
      <c r="AB176">
        <v>133.69999999999999</v>
      </c>
      <c r="AC176">
        <v>121.6</v>
      </c>
      <c r="AD176">
        <v>131.69999999999999</v>
      </c>
      <c r="AE176">
        <v>140</v>
      </c>
    </row>
    <row r="177" spans="1:31" x14ac:dyDescent="0.3">
      <c r="A177" t="s">
        <v>30</v>
      </c>
      <c r="B177">
        <v>2017</v>
      </c>
      <c r="C177" t="s">
        <v>41</v>
      </c>
      <c r="D177">
        <f t="shared" si="4"/>
        <v>11</v>
      </c>
      <c r="E177">
        <v>135.69999999999999</v>
      </c>
      <c r="F177">
        <v>142.4</v>
      </c>
      <c r="G177">
        <v>142.9</v>
      </c>
      <c r="H177">
        <v>140.80000000000001</v>
      </c>
      <c r="I177">
        <v>119.2</v>
      </c>
      <c r="J177">
        <v>142.19999999999999</v>
      </c>
      <c r="K177">
        <v>173.8</v>
      </c>
      <c r="L177">
        <v>131.19999999999999</v>
      </c>
      <c r="M177">
        <v>123</v>
      </c>
      <c r="N177">
        <v>136.80000000000001</v>
      </c>
      <c r="O177">
        <v>129.19999999999999</v>
      </c>
      <c r="P177">
        <v>148.9</v>
      </c>
      <c r="Q177">
        <v>142.1</v>
      </c>
      <c r="R177">
        <v>153.19999999999999</v>
      </c>
      <c r="S177">
        <v>143</v>
      </c>
      <c r="T177">
        <v>134.80000000000001</v>
      </c>
      <c r="U177">
        <v>141.80000000000001</v>
      </c>
      <c r="V177">
        <v>138.6</v>
      </c>
      <c r="W177">
        <v>135.30000000000001</v>
      </c>
      <c r="X177">
        <v>134.4</v>
      </c>
      <c r="Y177">
        <v>132.6</v>
      </c>
      <c r="Z177">
        <v>126.8</v>
      </c>
      <c r="AA177">
        <v>138.6</v>
      </c>
      <c r="AB177">
        <v>128.9</v>
      </c>
      <c r="AC177">
        <v>118.3</v>
      </c>
      <c r="AD177">
        <v>128.4</v>
      </c>
      <c r="AE177">
        <v>137.6</v>
      </c>
    </row>
    <row r="178" spans="1:31" x14ac:dyDescent="0.3">
      <c r="A178" t="s">
        <v>29</v>
      </c>
      <c r="B178">
        <v>2017</v>
      </c>
      <c r="C178" t="s">
        <v>41</v>
      </c>
      <c r="D178">
        <f t="shared" si="4"/>
        <v>11</v>
      </c>
      <c r="E178">
        <v>134.30000000000001</v>
      </c>
      <c r="F178">
        <v>142.1</v>
      </c>
      <c r="G178">
        <v>146.69999999999999</v>
      </c>
      <c r="H178">
        <v>139.5</v>
      </c>
      <c r="I178">
        <v>115.2</v>
      </c>
      <c r="J178">
        <v>136.4</v>
      </c>
      <c r="K178">
        <v>185.2</v>
      </c>
      <c r="L178">
        <v>122.2</v>
      </c>
      <c r="M178">
        <v>123.9</v>
      </c>
      <c r="N178">
        <v>138.30000000000001</v>
      </c>
      <c r="O178">
        <v>125.4</v>
      </c>
      <c r="P178">
        <v>146</v>
      </c>
      <c r="Q178">
        <v>141.5</v>
      </c>
      <c r="R178">
        <v>156.19999999999999</v>
      </c>
      <c r="S178">
        <v>135</v>
      </c>
      <c r="T178">
        <v>125.4</v>
      </c>
      <c r="U178">
        <v>133.5</v>
      </c>
      <c r="V178">
        <v>138.6</v>
      </c>
      <c r="W178">
        <v>125.7</v>
      </c>
      <c r="X178">
        <v>128.80000000000001</v>
      </c>
      <c r="Y178">
        <v>127.4</v>
      </c>
      <c r="Z178">
        <v>124.9</v>
      </c>
      <c r="AA178">
        <v>136.6</v>
      </c>
      <c r="AB178">
        <v>125.1</v>
      </c>
      <c r="AC178">
        <v>115.3</v>
      </c>
      <c r="AD178">
        <v>124.9</v>
      </c>
      <c r="AE178">
        <v>134.80000000000001</v>
      </c>
    </row>
    <row r="179" spans="1:31" x14ac:dyDescent="0.3">
      <c r="A179" t="s">
        <v>27</v>
      </c>
      <c r="B179">
        <v>2017</v>
      </c>
      <c r="C179" t="s">
        <v>42</v>
      </c>
      <c r="D179">
        <f t="shared" si="4"/>
        <v>12</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s="2">
        <f>'Missing values'!V361</f>
        <v>139.1</v>
      </c>
      <c r="W179">
        <v>142.6</v>
      </c>
      <c r="X179">
        <v>139.5</v>
      </c>
      <c r="Y179">
        <v>136.1</v>
      </c>
      <c r="Z179">
        <v>127.8</v>
      </c>
      <c r="AA179">
        <v>141.1</v>
      </c>
      <c r="AB179">
        <v>133.4</v>
      </c>
      <c r="AC179">
        <v>122</v>
      </c>
      <c r="AD179">
        <v>131.9</v>
      </c>
      <c r="AE179">
        <v>139.80000000000001</v>
      </c>
    </row>
    <row r="180" spans="1:31" x14ac:dyDescent="0.3">
      <c r="A180" t="s">
        <v>30</v>
      </c>
      <c r="B180">
        <v>2017</v>
      </c>
      <c r="C180" t="s">
        <v>42</v>
      </c>
      <c r="D180">
        <f t="shared" si="4"/>
        <v>12</v>
      </c>
      <c r="E180">
        <v>135.80000000000001</v>
      </c>
      <c r="F180">
        <v>143.30000000000001</v>
      </c>
      <c r="G180">
        <v>145.19999999999999</v>
      </c>
      <c r="H180">
        <v>141</v>
      </c>
      <c r="I180">
        <v>120.5</v>
      </c>
      <c r="J180">
        <v>141.5</v>
      </c>
      <c r="K180">
        <v>161.69999999999999</v>
      </c>
      <c r="L180">
        <v>129.1</v>
      </c>
      <c r="M180">
        <v>121.5</v>
      </c>
      <c r="N180">
        <v>137.1</v>
      </c>
      <c r="O180">
        <v>128.80000000000001</v>
      </c>
      <c r="P180">
        <v>149</v>
      </c>
      <c r="Q180">
        <v>140.5</v>
      </c>
      <c r="R180">
        <v>154.19999999999999</v>
      </c>
      <c r="S180">
        <v>143.1</v>
      </c>
      <c r="T180">
        <v>135.1</v>
      </c>
      <c r="U180">
        <v>142</v>
      </c>
      <c r="V180">
        <v>139.1</v>
      </c>
      <c r="W180">
        <v>136.6</v>
      </c>
      <c r="X180">
        <v>134.69999999999999</v>
      </c>
      <c r="Y180">
        <v>133.1</v>
      </c>
      <c r="Z180">
        <v>126.5</v>
      </c>
      <c r="AA180">
        <v>138.5</v>
      </c>
      <c r="AB180">
        <v>129</v>
      </c>
      <c r="AC180">
        <v>118.5</v>
      </c>
      <c r="AD180">
        <v>128.6</v>
      </c>
      <c r="AE180">
        <v>137.19999999999999</v>
      </c>
    </row>
    <row r="181" spans="1:31" x14ac:dyDescent="0.3">
      <c r="A181" t="s">
        <v>29</v>
      </c>
      <c r="B181">
        <v>2017</v>
      </c>
      <c r="C181" t="s">
        <v>42</v>
      </c>
      <c r="D181">
        <f t="shared" si="4"/>
        <v>12</v>
      </c>
      <c r="E181">
        <v>134.4</v>
      </c>
      <c r="F181">
        <v>142.6</v>
      </c>
      <c r="G181">
        <v>145.9</v>
      </c>
      <c r="H181">
        <v>139.5</v>
      </c>
      <c r="I181">
        <v>115.9</v>
      </c>
      <c r="J181">
        <v>135</v>
      </c>
      <c r="K181">
        <v>163.19999999999999</v>
      </c>
      <c r="L181">
        <v>119.8</v>
      </c>
      <c r="M181">
        <v>120.7</v>
      </c>
      <c r="N181">
        <v>139.69999999999999</v>
      </c>
      <c r="O181">
        <v>125.7</v>
      </c>
      <c r="P181">
        <v>146.30000000000001</v>
      </c>
      <c r="Q181">
        <v>138.80000000000001</v>
      </c>
      <c r="R181">
        <v>157</v>
      </c>
      <c r="S181">
        <v>135.6</v>
      </c>
      <c r="T181">
        <v>125.6</v>
      </c>
      <c r="U181">
        <v>134</v>
      </c>
      <c r="V181">
        <v>139.1</v>
      </c>
      <c r="W181">
        <v>126.8</v>
      </c>
      <c r="X181">
        <v>129.30000000000001</v>
      </c>
      <c r="Y181">
        <v>128.19999999999999</v>
      </c>
      <c r="Z181">
        <v>124.6</v>
      </c>
      <c r="AA181">
        <v>136.69999999999999</v>
      </c>
      <c r="AB181">
        <v>125.6</v>
      </c>
      <c r="AC181">
        <v>115.3</v>
      </c>
      <c r="AD181">
        <v>125.1</v>
      </c>
      <c r="AE181">
        <v>134.1</v>
      </c>
    </row>
    <row r="182" spans="1:31" x14ac:dyDescent="0.3">
      <c r="A182" t="s">
        <v>27</v>
      </c>
      <c r="B182">
        <v>2018</v>
      </c>
      <c r="C182" t="s">
        <v>28</v>
      </c>
      <c r="D182">
        <f t="shared" si="4"/>
        <v>1</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s="2">
        <f>'Missing values'!V22</f>
        <v>140.4</v>
      </c>
      <c r="W182">
        <v>142.30000000000001</v>
      </c>
      <c r="X182">
        <v>139.80000000000001</v>
      </c>
      <c r="Y182">
        <v>136</v>
      </c>
      <c r="Z182">
        <v>128.6</v>
      </c>
      <c r="AA182">
        <v>141.6</v>
      </c>
      <c r="AB182">
        <v>134.30000000000001</v>
      </c>
      <c r="AC182">
        <v>122.7</v>
      </c>
      <c r="AD182">
        <v>132.30000000000001</v>
      </c>
      <c r="AE182">
        <v>139.30000000000001</v>
      </c>
    </row>
    <row r="183" spans="1:31" x14ac:dyDescent="0.3">
      <c r="A183" t="s">
        <v>30</v>
      </c>
      <c r="B183">
        <v>2018</v>
      </c>
      <c r="C183" t="s">
        <v>28</v>
      </c>
      <c r="D183">
        <f t="shared" si="4"/>
        <v>1</v>
      </c>
      <c r="E183">
        <v>136</v>
      </c>
      <c r="F183">
        <v>144.19999999999999</v>
      </c>
      <c r="G183">
        <v>143.69999999999999</v>
      </c>
      <c r="H183">
        <v>141.1</v>
      </c>
      <c r="I183">
        <v>120.7</v>
      </c>
      <c r="J183">
        <v>141.30000000000001</v>
      </c>
      <c r="K183">
        <v>151.6</v>
      </c>
      <c r="L183">
        <v>127.3</v>
      </c>
      <c r="M183">
        <v>118.8</v>
      </c>
      <c r="N183">
        <v>137.5</v>
      </c>
      <c r="O183">
        <v>129</v>
      </c>
      <c r="P183">
        <v>149.5</v>
      </c>
      <c r="Q183">
        <v>139.19999999999999</v>
      </c>
      <c r="R183">
        <v>154.69999999999999</v>
      </c>
      <c r="S183">
        <v>143.5</v>
      </c>
      <c r="T183">
        <v>135.5</v>
      </c>
      <c r="U183">
        <v>142.30000000000001</v>
      </c>
      <c r="V183">
        <v>140.4</v>
      </c>
      <c r="W183">
        <v>136.6</v>
      </c>
      <c r="X183">
        <v>134.9</v>
      </c>
      <c r="Y183">
        <v>133.30000000000001</v>
      </c>
      <c r="Z183">
        <v>127.3</v>
      </c>
      <c r="AA183">
        <v>139</v>
      </c>
      <c r="AB183">
        <v>129.69999999999999</v>
      </c>
      <c r="AC183">
        <v>119.3</v>
      </c>
      <c r="AD183">
        <v>129.1</v>
      </c>
      <c r="AE183">
        <v>136.9</v>
      </c>
    </row>
    <row r="184" spans="1:31" x14ac:dyDescent="0.3">
      <c r="A184" t="s">
        <v>29</v>
      </c>
      <c r="B184">
        <v>2018</v>
      </c>
      <c r="C184" t="s">
        <v>28</v>
      </c>
      <c r="D184">
        <f t="shared" si="4"/>
        <v>1</v>
      </c>
      <c r="E184">
        <v>134.6</v>
      </c>
      <c r="F184">
        <v>143.69999999999999</v>
      </c>
      <c r="G184">
        <v>143.6</v>
      </c>
      <c r="H184">
        <v>139.6</v>
      </c>
      <c r="I184">
        <v>116.4</v>
      </c>
      <c r="J184">
        <v>133.80000000000001</v>
      </c>
      <c r="K184">
        <v>150.5</v>
      </c>
      <c r="L184">
        <v>118.4</v>
      </c>
      <c r="M184">
        <v>117.3</v>
      </c>
      <c r="N184">
        <v>140.5</v>
      </c>
      <c r="O184">
        <v>125.9</v>
      </c>
      <c r="P184">
        <v>146.80000000000001</v>
      </c>
      <c r="Q184">
        <v>137.19999999999999</v>
      </c>
      <c r="R184">
        <v>157.69999999999999</v>
      </c>
      <c r="S184">
        <v>136</v>
      </c>
      <c r="T184">
        <v>125.9</v>
      </c>
      <c r="U184">
        <v>134.4</v>
      </c>
      <c r="V184">
        <v>140.4</v>
      </c>
      <c r="W184">
        <v>127.3</v>
      </c>
      <c r="X184">
        <v>129.5</v>
      </c>
      <c r="Y184">
        <v>129</v>
      </c>
      <c r="Z184">
        <v>125.5</v>
      </c>
      <c r="AA184">
        <v>137.1</v>
      </c>
      <c r="AB184">
        <v>126.2</v>
      </c>
      <c r="AC184">
        <v>116.3</v>
      </c>
      <c r="AD184">
        <v>125.8</v>
      </c>
      <c r="AE184">
        <v>134.1</v>
      </c>
    </row>
    <row r="185" spans="1:31" x14ac:dyDescent="0.3">
      <c r="A185" t="s">
        <v>27</v>
      </c>
      <c r="B185">
        <v>2018</v>
      </c>
      <c r="C185" t="s">
        <v>31</v>
      </c>
      <c r="D185">
        <f t="shared" si="4"/>
        <v>2</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s="2">
        <f>'Missing values'!V55</f>
        <v>141.30000000000001</v>
      </c>
      <c r="W185">
        <v>142.4</v>
      </c>
      <c r="X185">
        <v>139.9</v>
      </c>
      <c r="Y185">
        <v>136.19999999999999</v>
      </c>
      <c r="Z185">
        <v>128.80000000000001</v>
      </c>
      <c r="AA185">
        <v>141.5</v>
      </c>
      <c r="AB185">
        <v>134.30000000000001</v>
      </c>
      <c r="AC185">
        <v>123.3</v>
      </c>
      <c r="AD185">
        <v>132.5</v>
      </c>
      <c r="AE185">
        <v>138.5</v>
      </c>
    </row>
    <row r="186" spans="1:31" x14ac:dyDescent="0.3">
      <c r="A186" t="s">
        <v>30</v>
      </c>
      <c r="B186">
        <v>2018</v>
      </c>
      <c r="C186" t="s">
        <v>31</v>
      </c>
      <c r="D186">
        <f t="shared" si="4"/>
        <v>2</v>
      </c>
      <c r="E186">
        <v>135.9</v>
      </c>
      <c r="F186">
        <v>143.5</v>
      </c>
      <c r="G186">
        <v>140.30000000000001</v>
      </c>
      <c r="H186">
        <v>140.9</v>
      </c>
      <c r="I186">
        <v>120.4</v>
      </c>
      <c r="J186">
        <v>142.9</v>
      </c>
      <c r="K186">
        <v>140.5</v>
      </c>
      <c r="L186">
        <v>125.8</v>
      </c>
      <c r="M186">
        <v>117.1</v>
      </c>
      <c r="N186">
        <v>137.30000000000001</v>
      </c>
      <c r="O186">
        <v>128.6</v>
      </c>
      <c r="P186">
        <v>149.6</v>
      </c>
      <c r="Q186">
        <v>137.6</v>
      </c>
      <c r="R186">
        <v>154.9</v>
      </c>
      <c r="S186">
        <v>143.80000000000001</v>
      </c>
      <c r="T186">
        <v>135.6</v>
      </c>
      <c r="U186">
        <v>142.6</v>
      </c>
      <c r="V186">
        <v>141.30000000000001</v>
      </c>
      <c r="W186">
        <v>136.69999999999999</v>
      </c>
      <c r="X186">
        <v>135.19999999999999</v>
      </c>
      <c r="Y186">
        <v>133.80000000000001</v>
      </c>
      <c r="Z186">
        <v>127.7</v>
      </c>
      <c r="AA186">
        <v>139</v>
      </c>
      <c r="AB186">
        <v>129.9</v>
      </c>
      <c r="AC186">
        <v>120.2</v>
      </c>
      <c r="AD186">
        <v>129.6</v>
      </c>
      <c r="AE186">
        <v>136.4</v>
      </c>
    </row>
    <row r="187" spans="1:31" x14ac:dyDescent="0.3">
      <c r="A187" t="s">
        <v>29</v>
      </c>
      <c r="B187">
        <v>2018</v>
      </c>
      <c r="C187" t="s">
        <v>31</v>
      </c>
      <c r="D187">
        <f t="shared" si="4"/>
        <v>2</v>
      </c>
      <c r="E187">
        <v>134.80000000000001</v>
      </c>
      <c r="F187">
        <v>143</v>
      </c>
      <c r="G187">
        <v>139.9</v>
      </c>
      <c r="H187">
        <v>139.9</v>
      </c>
      <c r="I187">
        <v>116.2</v>
      </c>
      <c r="J187">
        <v>135.5</v>
      </c>
      <c r="K187">
        <v>136.9</v>
      </c>
      <c r="L187">
        <v>117</v>
      </c>
      <c r="M187">
        <v>115.4</v>
      </c>
      <c r="N187">
        <v>140.69999999999999</v>
      </c>
      <c r="O187">
        <v>125.9</v>
      </c>
      <c r="P187">
        <v>147.1</v>
      </c>
      <c r="Q187">
        <v>135.6</v>
      </c>
      <c r="R187">
        <v>159.30000000000001</v>
      </c>
      <c r="S187">
        <v>136.30000000000001</v>
      </c>
      <c r="T187">
        <v>126.1</v>
      </c>
      <c r="U187">
        <v>134.69999999999999</v>
      </c>
      <c r="V187">
        <v>141.30000000000001</v>
      </c>
      <c r="W187">
        <v>127.3</v>
      </c>
      <c r="X187">
        <v>129.9</v>
      </c>
      <c r="Y187">
        <v>129.80000000000001</v>
      </c>
      <c r="Z187">
        <v>126.2</v>
      </c>
      <c r="AA187">
        <v>137.19999999999999</v>
      </c>
      <c r="AB187">
        <v>126.5</v>
      </c>
      <c r="AC187">
        <v>117.4</v>
      </c>
      <c r="AD187">
        <v>126.5</v>
      </c>
      <c r="AE187">
        <v>134</v>
      </c>
    </row>
    <row r="188" spans="1:31" x14ac:dyDescent="0.3">
      <c r="A188" t="s">
        <v>27</v>
      </c>
      <c r="B188">
        <v>2018</v>
      </c>
      <c r="C188" t="s">
        <v>32</v>
      </c>
      <c r="D188">
        <f t="shared" si="4"/>
        <v>3</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s="2">
        <f>'Missing values'!V88</f>
        <v>142</v>
      </c>
      <c r="W188">
        <v>142.6</v>
      </c>
      <c r="X188">
        <v>139.9</v>
      </c>
      <c r="Y188">
        <v>136.69999999999999</v>
      </c>
      <c r="Z188">
        <v>129.30000000000001</v>
      </c>
      <c r="AA188">
        <v>142.69999999999999</v>
      </c>
      <c r="AB188">
        <v>135.1</v>
      </c>
      <c r="AC188">
        <v>124.6</v>
      </c>
      <c r="AD188">
        <v>133.30000000000001</v>
      </c>
      <c r="AE188">
        <v>138.69999999999999</v>
      </c>
    </row>
    <row r="189" spans="1:31" x14ac:dyDescent="0.3">
      <c r="A189" t="s">
        <v>30</v>
      </c>
      <c r="B189">
        <v>2018</v>
      </c>
      <c r="C189" t="s">
        <v>32</v>
      </c>
      <c r="D189">
        <f t="shared" si="4"/>
        <v>3</v>
      </c>
      <c r="E189">
        <v>136.19999999999999</v>
      </c>
      <c r="F189">
        <v>143.6</v>
      </c>
      <c r="G189">
        <v>138.30000000000001</v>
      </c>
      <c r="H189">
        <v>141.19999999999999</v>
      </c>
      <c r="I189">
        <v>120.7</v>
      </c>
      <c r="J189">
        <v>146.19999999999999</v>
      </c>
      <c r="K189">
        <v>134.6</v>
      </c>
      <c r="L189">
        <v>124.6</v>
      </c>
      <c r="M189">
        <v>116.1</v>
      </c>
      <c r="N189">
        <v>137.80000000000001</v>
      </c>
      <c r="O189">
        <v>129.1</v>
      </c>
      <c r="P189">
        <v>150.4</v>
      </c>
      <c r="Q189">
        <v>137.19999999999999</v>
      </c>
      <c r="R189">
        <v>156.30000000000001</v>
      </c>
      <c r="S189">
        <v>144.30000000000001</v>
      </c>
      <c r="T189">
        <v>136.19999999999999</v>
      </c>
      <c r="U189">
        <v>143.1</v>
      </c>
      <c r="V189">
        <v>142</v>
      </c>
      <c r="W189">
        <v>136.5</v>
      </c>
      <c r="X189">
        <v>135.6</v>
      </c>
      <c r="Y189">
        <v>134.30000000000001</v>
      </c>
      <c r="Z189">
        <v>128.19999999999999</v>
      </c>
      <c r="AA189">
        <v>139.80000000000001</v>
      </c>
      <c r="AB189">
        <v>130.4</v>
      </c>
      <c r="AC189">
        <v>121</v>
      </c>
      <c r="AD189">
        <v>130.30000000000001</v>
      </c>
      <c r="AE189">
        <v>136.5</v>
      </c>
    </row>
    <row r="190" spans="1:31" x14ac:dyDescent="0.3">
      <c r="A190" t="s">
        <v>29</v>
      </c>
      <c r="B190">
        <v>2018</v>
      </c>
      <c r="C190" t="s">
        <v>32</v>
      </c>
      <c r="D190">
        <f t="shared" si="4"/>
        <v>3</v>
      </c>
      <c r="E190">
        <v>135</v>
      </c>
      <c r="F190">
        <v>143.1</v>
      </c>
      <c r="G190">
        <v>135.5</v>
      </c>
      <c r="H190">
        <v>139.9</v>
      </c>
      <c r="I190">
        <v>116.5</v>
      </c>
      <c r="J190">
        <v>138.5</v>
      </c>
      <c r="K190">
        <v>128</v>
      </c>
      <c r="L190">
        <v>115.5</v>
      </c>
      <c r="M190">
        <v>114.2</v>
      </c>
      <c r="N190">
        <v>140.69999999999999</v>
      </c>
      <c r="O190">
        <v>126.2</v>
      </c>
      <c r="P190">
        <v>147.6</v>
      </c>
      <c r="Q190">
        <v>134.80000000000001</v>
      </c>
      <c r="R190">
        <v>159.69999999999999</v>
      </c>
      <c r="S190">
        <v>136.69999999999999</v>
      </c>
      <c r="T190">
        <v>126.7</v>
      </c>
      <c r="U190">
        <v>135.19999999999999</v>
      </c>
      <c r="V190">
        <v>142</v>
      </c>
      <c r="W190">
        <v>126.4</v>
      </c>
      <c r="X190">
        <v>130.80000000000001</v>
      </c>
      <c r="Y190">
        <v>130.5</v>
      </c>
      <c r="Z190">
        <v>126.7</v>
      </c>
      <c r="AA190">
        <v>137.80000000000001</v>
      </c>
      <c r="AB190">
        <v>126.8</v>
      </c>
      <c r="AC190">
        <v>117.8</v>
      </c>
      <c r="AD190">
        <v>127.1</v>
      </c>
      <c r="AE190">
        <v>134</v>
      </c>
    </row>
    <row r="191" spans="1:31" x14ac:dyDescent="0.3">
      <c r="A191" t="s">
        <v>27</v>
      </c>
      <c r="B191">
        <v>2018</v>
      </c>
      <c r="C191" t="s">
        <v>33</v>
      </c>
      <c r="D191">
        <f t="shared" si="4"/>
        <v>4</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s="2">
        <f>'Missing values'!V121</f>
        <v>142.9</v>
      </c>
      <c r="W191">
        <v>143.80000000000001</v>
      </c>
      <c r="X191">
        <v>140.9</v>
      </c>
      <c r="Y191">
        <v>137.6</v>
      </c>
      <c r="Z191">
        <v>130.4</v>
      </c>
      <c r="AA191">
        <v>143.69999999999999</v>
      </c>
      <c r="AB191">
        <v>136</v>
      </c>
      <c r="AC191">
        <v>125.3</v>
      </c>
      <c r="AD191">
        <v>134.19999999999999</v>
      </c>
      <c r="AE191">
        <v>139.1</v>
      </c>
    </row>
    <row r="192" spans="1:31" x14ac:dyDescent="0.3">
      <c r="A192" t="s">
        <v>30</v>
      </c>
      <c r="B192">
        <v>2018</v>
      </c>
      <c r="C192" t="s">
        <v>33</v>
      </c>
      <c r="D192">
        <f t="shared" si="4"/>
        <v>4</v>
      </c>
      <c r="E192">
        <v>136.4</v>
      </c>
      <c r="F192">
        <v>144.4</v>
      </c>
      <c r="G192">
        <v>133.9</v>
      </c>
      <c r="H192">
        <v>141.6</v>
      </c>
      <c r="I192">
        <v>121</v>
      </c>
      <c r="J192">
        <v>153.5</v>
      </c>
      <c r="K192">
        <v>132.6</v>
      </c>
      <c r="L192">
        <v>123.5</v>
      </c>
      <c r="M192">
        <v>113.7</v>
      </c>
      <c r="N192">
        <v>138.19999999999999</v>
      </c>
      <c r="O192">
        <v>129.6</v>
      </c>
      <c r="P192">
        <v>151.19999999999999</v>
      </c>
      <c r="Q192">
        <v>137.5</v>
      </c>
      <c r="R192">
        <v>156.9</v>
      </c>
      <c r="S192">
        <v>145.30000000000001</v>
      </c>
      <c r="T192">
        <v>136.69999999999999</v>
      </c>
      <c r="U192">
        <v>144</v>
      </c>
      <c r="V192">
        <v>142.9</v>
      </c>
      <c r="W192">
        <v>136.5</v>
      </c>
      <c r="X192">
        <v>136.6</v>
      </c>
      <c r="Y192">
        <v>135.19999999999999</v>
      </c>
      <c r="Z192">
        <v>129.19999999999999</v>
      </c>
      <c r="AA192">
        <v>141.4</v>
      </c>
      <c r="AB192">
        <v>131.30000000000001</v>
      </c>
      <c r="AC192">
        <v>121.9</v>
      </c>
      <c r="AD192">
        <v>131.30000000000001</v>
      </c>
      <c r="AE192">
        <v>137.1</v>
      </c>
    </row>
    <row r="193" spans="1:31" x14ac:dyDescent="0.3">
      <c r="A193" t="s">
        <v>29</v>
      </c>
      <c r="B193">
        <v>2018</v>
      </c>
      <c r="C193" t="s">
        <v>33</v>
      </c>
      <c r="D193">
        <f t="shared" si="4"/>
        <v>4</v>
      </c>
      <c r="E193">
        <v>135</v>
      </c>
      <c r="F193">
        <v>144.30000000000001</v>
      </c>
      <c r="G193">
        <v>130.80000000000001</v>
      </c>
      <c r="H193">
        <v>140.30000000000001</v>
      </c>
      <c r="I193">
        <v>116.6</v>
      </c>
      <c r="J193">
        <v>150.1</v>
      </c>
      <c r="K193">
        <v>127.6</v>
      </c>
      <c r="L193">
        <v>114</v>
      </c>
      <c r="M193">
        <v>110.6</v>
      </c>
      <c r="N193">
        <v>140.19999999999999</v>
      </c>
      <c r="O193">
        <v>126.5</v>
      </c>
      <c r="P193">
        <v>148.30000000000001</v>
      </c>
      <c r="Q193">
        <v>135.69999999999999</v>
      </c>
      <c r="R193">
        <v>159.19999999999999</v>
      </c>
      <c r="S193">
        <v>137.80000000000001</v>
      </c>
      <c r="T193">
        <v>127.4</v>
      </c>
      <c r="U193">
        <v>136.19999999999999</v>
      </c>
      <c r="V193">
        <v>142.9</v>
      </c>
      <c r="W193">
        <v>124.6</v>
      </c>
      <c r="X193">
        <v>131.80000000000001</v>
      </c>
      <c r="Y193">
        <v>131.30000000000001</v>
      </c>
      <c r="Z193">
        <v>127.6</v>
      </c>
      <c r="AA193">
        <v>139.69999999999999</v>
      </c>
      <c r="AB193">
        <v>127.6</v>
      </c>
      <c r="AC193">
        <v>118.9</v>
      </c>
      <c r="AD193">
        <v>128.19999999999999</v>
      </c>
      <c r="AE193">
        <v>134.80000000000001</v>
      </c>
    </row>
    <row r="194" spans="1:31" x14ac:dyDescent="0.3">
      <c r="A194" t="s">
        <v>27</v>
      </c>
      <c r="B194">
        <v>2018</v>
      </c>
      <c r="C194" t="s">
        <v>34</v>
      </c>
      <c r="D194">
        <f t="shared" si="4"/>
        <v>5</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s="2">
        <f>'Missing values'!V151</f>
        <v>143.19999999999999</v>
      </c>
      <c r="W194">
        <v>144.30000000000001</v>
      </c>
      <c r="X194">
        <v>141.80000000000001</v>
      </c>
      <c r="Y194">
        <v>138.4</v>
      </c>
      <c r="Z194">
        <v>131.19999999999999</v>
      </c>
      <c r="AA194">
        <v>144.4</v>
      </c>
      <c r="AB194">
        <v>136.80000000000001</v>
      </c>
      <c r="AC194">
        <v>126.4</v>
      </c>
      <c r="AD194">
        <v>135.1</v>
      </c>
      <c r="AE194">
        <v>139.80000000000001</v>
      </c>
    </row>
    <row r="195" spans="1:31" x14ac:dyDescent="0.3">
      <c r="A195" t="s">
        <v>30</v>
      </c>
      <c r="B195">
        <v>2018</v>
      </c>
      <c r="C195" t="s">
        <v>34</v>
      </c>
      <c r="D195">
        <f t="shared" si="4"/>
        <v>5</v>
      </c>
      <c r="E195">
        <v>136.6</v>
      </c>
      <c r="F195">
        <v>146.6</v>
      </c>
      <c r="G195">
        <v>133.6</v>
      </c>
      <c r="H195">
        <v>142.1</v>
      </c>
      <c r="I195">
        <v>121</v>
      </c>
      <c r="J195">
        <v>154.6</v>
      </c>
      <c r="K195">
        <v>135.6</v>
      </c>
      <c r="L195">
        <v>122.3</v>
      </c>
      <c r="M195">
        <v>109.6</v>
      </c>
      <c r="N195">
        <v>138.1</v>
      </c>
      <c r="O195">
        <v>129.9</v>
      </c>
      <c r="P195">
        <v>151.69999999999999</v>
      </c>
      <c r="Q195">
        <v>138.1</v>
      </c>
      <c r="R195">
        <v>157.9</v>
      </c>
      <c r="S195">
        <v>146</v>
      </c>
      <c r="T195">
        <v>137.4</v>
      </c>
      <c r="U195">
        <v>144.69999999999999</v>
      </c>
      <c r="V195">
        <v>143.19999999999999</v>
      </c>
      <c r="W195">
        <v>136.9</v>
      </c>
      <c r="X195">
        <v>137.4</v>
      </c>
      <c r="Y195">
        <v>136</v>
      </c>
      <c r="Z195">
        <v>129.9</v>
      </c>
      <c r="AA195">
        <v>142.1</v>
      </c>
      <c r="AB195">
        <v>131.80000000000001</v>
      </c>
      <c r="AC195">
        <v>122.9</v>
      </c>
      <c r="AD195">
        <v>132.1</v>
      </c>
      <c r="AE195">
        <v>137.80000000000001</v>
      </c>
    </row>
    <row r="196" spans="1:31" x14ac:dyDescent="0.3">
      <c r="A196" t="s">
        <v>29</v>
      </c>
      <c r="B196">
        <v>2018</v>
      </c>
      <c r="C196" t="s">
        <v>34</v>
      </c>
      <c r="D196">
        <f t="shared" si="4"/>
        <v>5</v>
      </c>
      <c r="E196">
        <v>135</v>
      </c>
      <c r="F196">
        <v>148.19999999999999</v>
      </c>
      <c r="G196">
        <v>130.5</v>
      </c>
      <c r="H196">
        <v>140.69999999999999</v>
      </c>
      <c r="I196">
        <v>116.4</v>
      </c>
      <c r="J196">
        <v>151.30000000000001</v>
      </c>
      <c r="K196">
        <v>131.4</v>
      </c>
      <c r="L196">
        <v>112.8</v>
      </c>
      <c r="M196">
        <v>105.3</v>
      </c>
      <c r="N196">
        <v>139.6</v>
      </c>
      <c r="O196">
        <v>126.6</v>
      </c>
      <c r="P196">
        <v>148.69999999999999</v>
      </c>
      <c r="Q196">
        <v>136.4</v>
      </c>
      <c r="R196">
        <v>160.30000000000001</v>
      </c>
      <c r="S196">
        <v>138.6</v>
      </c>
      <c r="T196">
        <v>127.9</v>
      </c>
      <c r="U196">
        <v>137</v>
      </c>
      <c r="V196">
        <v>143.19999999999999</v>
      </c>
      <c r="W196">
        <v>124.7</v>
      </c>
      <c r="X196">
        <v>132.5</v>
      </c>
      <c r="Y196">
        <v>132</v>
      </c>
      <c r="Z196">
        <v>128.1</v>
      </c>
      <c r="AA196">
        <v>140.4</v>
      </c>
      <c r="AB196">
        <v>128</v>
      </c>
      <c r="AC196">
        <v>119.8</v>
      </c>
      <c r="AD196">
        <v>128.9</v>
      </c>
      <c r="AE196">
        <v>135.4</v>
      </c>
    </row>
    <row r="197" spans="1:31" x14ac:dyDescent="0.3">
      <c r="A197" t="s">
        <v>27</v>
      </c>
      <c r="B197">
        <v>2018</v>
      </c>
      <c r="C197" t="s">
        <v>35</v>
      </c>
      <c r="D197">
        <f t="shared" si="4"/>
        <v>6</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s="2">
        <f>'Missing values'!V184</f>
        <v>142.5</v>
      </c>
      <c r="W197">
        <v>145.1</v>
      </c>
      <c r="X197">
        <v>142.19999999999999</v>
      </c>
      <c r="Y197">
        <v>138.4</v>
      </c>
      <c r="Z197">
        <v>131.4</v>
      </c>
      <c r="AA197">
        <v>145.1</v>
      </c>
      <c r="AB197">
        <v>137.80000000000001</v>
      </c>
      <c r="AC197">
        <v>127.4</v>
      </c>
      <c r="AD197">
        <v>135.6</v>
      </c>
      <c r="AE197">
        <v>140.5</v>
      </c>
    </row>
    <row r="198" spans="1:31" x14ac:dyDescent="0.3">
      <c r="A198" t="s">
        <v>30</v>
      </c>
      <c r="B198">
        <v>2018</v>
      </c>
      <c r="C198" t="s">
        <v>35</v>
      </c>
      <c r="D198">
        <f t="shared" si="4"/>
        <v>6</v>
      </c>
      <c r="E198">
        <v>136.9</v>
      </c>
      <c r="F198">
        <v>148.69999999999999</v>
      </c>
      <c r="G198">
        <v>135.6</v>
      </c>
      <c r="H198">
        <v>142.30000000000001</v>
      </c>
      <c r="I198">
        <v>121.3</v>
      </c>
      <c r="J198">
        <v>153.19999999999999</v>
      </c>
      <c r="K198">
        <v>143.69999999999999</v>
      </c>
      <c r="L198">
        <v>121.4</v>
      </c>
      <c r="M198">
        <v>111.1</v>
      </c>
      <c r="N198">
        <v>138.4</v>
      </c>
      <c r="O198">
        <v>130.30000000000001</v>
      </c>
      <c r="P198">
        <v>151.80000000000001</v>
      </c>
      <c r="Q198">
        <v>139.4</v>
      </c>
      <c r="R198">
        <v>158.30000000000001</v>
      </c>
      <c r="S198">
        <v>146.4</v>
      </c>
      <c r="T198">
        <v>138.1</v>
      </c>
      <c r="U198">
        <v>145.19999999999999</v>
      </c>
      <c r="V198">
        <v>142.5</v>
      </c>
      <c r="W198">
        <v>138.1</v>
      </c>
      <c r="X198">
        <v>137.9</v>
      </c>
      <c r="Y198">
        <v>136.19999999999999</v>
      </c>
      <c r="Z198">
        <v>130.1</v>
      </c>
      <c r="AA198">
        <v>142.80000000000001</v>
      </c>
      <c r="AB198">
        <v>132.6</v>
      </c>
      <c r="AC198">
        <v>123.7</v>
      </c>
      <c r="AD198">
        <v>132.6</v>
      </c>
      <c r="AE198">
        <v>138.5</v>
      </c>
    </row>
    <row r="199" spans="1:31" x14ac:dyDescent="0.3">
      <c r="A199" t="s">
        <v>29</v>
      </c>
      <c r="B199">
        <v>2018</v>
      </c>
      <c r="C199" t="s">
        <v>35</v>
      </c>
      <c r="D199">
        <f t="shared" si="4"/>
        <v>6</v>
      </c>
      <c r="E199">
        <v>135.30000000000001</v>
      </c>
      <c r="F199">
        <v>149.69999999999999</v>
      </c>
      <c r="G199">
        <v>133.9</v>
      </c>
      <c r="H199">
        <v>140.80000000000001</v>
      </c>
      <c r="I199">
        <v>116.6</v>
      </c>
      <c r="J199">
        <v>152.19999999999999</v>
      </c>
      <c r="K199">
        <v>144</v>
      </c>
      <c r="L199">
        <v>112.3</v>
      </c>
      <c r="M199">
        <v>108.4</v>
      </c>
      <c r="N199">
        <v>140</v>
      </c>
      <c r="O199">
        <v>126.7</v>
      </c>
      <c r="P199">
        <v>149</v>
      </c>
      <c r="Q199">
        <v>138.4</v>
      </c>
      <c r="R199">
        <v>161</v>
      </c>
      <c r="S199">
        <v>138.9</v>
      </c>
      <c r="T199">
        <v>128.69999999999999</v>
      </c>
      <c r="U199">
        <v>137.4</v>
      </c>
      <c r="V199">
        <v>142.5</v>
      </c>
      <c r="W199">
        <v>126.5</v>
      </c>
      <c r="X199">
        <v>133.1</v>
      </c>
      <c r="Y199">
        <v>132.6</v>
      </c>
      <c r="Z199">
        <v>128.19999999999999</v>
      </c>
      <c r="AA199">
        <v>141.19999999999999</v>
      </c>
      <c r="AB199">
        <v>128.5</v>
      </c>
      <c r="AC199">
        <v>120.4</v>
      </c>
      <c r="AD199">
        <v>129.5</v>
      </c>
      <c r="AE199">
        <v>136.19999999999999</v>
      </c>
    </row>
    <row r="200" spans="1:31" x14ac:dyDescent="0.3">
      <c r="A200" t="s">
        <v>27</v>
      </c>
      <c r="B200">
        <v>2018</v>
      </c>
      <c r="C200" t="s">
        <v>36</v>
      </c>
      <c r="D200">
        <f t="shared" si="4"/>
        <v>7</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s="2">
        <f>'Missing values'!V214</f>
        <v>143.6</v>
      </c>
      <c r="W200">
        <v>146.80000000000001</v>
      </c>
      <c r="X200">
        <v>143.1</v>
      </c>
      <c r="Y200">
        <v>139</v>
      </c>
      <c r="Z200">
        <v>131.4</v>
      </c>
      <c r="AA200">
        <v>145.80000000000001</v>
      </c>
      <c r="AB200">
        <v>138.4</v>
      </c>
      <c r="AC200">
        <v>127.5</v>
      </c>
      <c r="AD200">
        <v>136</v>
      </c>
      <c r="AE200">
        <v>141.80000000000001</v>
      </c>
    </row>
    <row r="201" spans="1:31" x14ac:dyDescent="0.3">
      <c r="A201" t="s">
        <v>30</v>
      </c>
      <c r="B201">
        <v>2018</v>
      </c>
      <c r="C201" t="s">
        <v>36</v>
      </c>
      <c r="D201">
        <f t="shared" si="4"/>
        <v>7</v>
      </c>
      <c r="E201">
        <v>137.5</v>
      </c>
      <c r="F201">
        <v>149.1</v>
      </c>
      <c r="G201">
        <v>139.19999999999999</v>
      </c>
      <c r="H201">
        <v>142.5</v>
      </c>
      <c r="I201">
        <v>121.4</v>
      </c>
      <c r="J201">
        <v>151.6</v>
      </c>
      <c r="K201">
        <v>155.9</v>
      </c>
      <c r="L201">
        <v>121.7</v>
      </c>
      <c r="M201">
        <v>113.5</v>
      </c>
      <c r="N201">
        <v>138.9</v>
      </c>
      <c r="O201">
        <v>130.30000000000001</v>
      </c>
      <c r="P201">
        <v>152.30000000000001</v>
      </c>
      <c r="Q201">
        <v>141.4</v>
      </c>
      <c r="R201">
        <v>157.5</v>
      </c>
      <c r="S201">
        <v>146.80000000000001</v>
      </c>
      <c r="T201">
        <v>138.4</v>
      </c>
      <c r="U201">
        <v>145.6</v>
      </c>
      <c r="V201">
        <v>143.6</v>
      </c>
      <c r="W201">
        <v>139.69999999999999</v>
      </c>
      <c r="X201">
        <v>138.6</v>
      </c>
      <c r="Y201">
        <v>137</v>
      </c>
      <c r="Z201">
        <v>130.1</v>
      </c>
      <c r="AA201">
        <v>144.69999999999999</v>
      </c>
      <c r="AB201">
        <v>133.1</v>
      </c>
      <c r="AC201">
        <v>123.6</v>
      </c>
      <c r="AD201">
        <v>133.19999999999999</v>
      </c>
      <c r="AE201">
        <v>139.80000000000001</v>
      </c>
    </row>
    <row r="202" spans="1:31" x14ac:dyDescent="0.3">
      <c r="A202" t="s">
        <v>29</v>
      </c>
      <c r="B202">
        <v>2018</v>
      </c>
      <c r="C202" t="s">
        <v>36</v>
      </c>
      <c r="D202">
        <f t="shared" si="4"/>
        <v>7</v>
      </c>
      <c r="E202">
        <v>135.6</v>
      </c>
      <c r="F202">
        <v>148.6</v>
      </c>
      <c r="G202">
        <v>139.1</v>
      </c>
      <c r="H202">
        <v>141</v>
      </c>
      <c r="I202">
        <v>116.7</v>
      </c>
      <c r="J202">
        <v>149.69999999999999</v>
      </c>
      <c r="K202">
        <v>159.19999999999999</v>
      </c>
      <c r="L202">
        <v>112.6</v>
      </c>
      <c r="M202">
        <v>111.8</v>
      </c>
      <c r="N202">
        <v>140.30000000000001</v>
      </c>
      <c r="O202">
        <v>126.8</v>
      </c>
      <c r="P202">
        <v>149.4</v>
      </c>
      <c r="Q202">
        <v>140.30000000000001</v>
      </c>
      <c r="R202">
        <v>161.4</v>
      </c>
      <c r="S202">
        <v>139.6</v>
      </c>
      <c r="T202">
        <v>128.9</v>
      </c>
      <c r="U202">
        <v>137.9</v>
      </c>
      <c r="V202">
        <v>143.6</v>
      </c>
      <c r="W202">
        <v>128.1</v>
      </c>
      <c r="X202">
        <v>133.6</v>
      </c>
      <c r="Y202">
        <v>133.6</v>
      </c>
      <c r="Z202">
        <v>128.19999999999999</v>
      </c>
      <c r="AA202">
        <v>144</v>
      </c>
      <c r="AB202">
        <v>129</v>
      </c>
      <c r="AC202">
        <v>120.1</v>
      </c>
      <c r="AD202">
        <v>130.19999999999999</v>
      </c>
      <c r="AE202">
        <v>137.5</v>
      </c>
    </row>
    <row r="203" spans="1:31" x14ac:dyDescent="0.3">
      <c r="A203" t="s">
        <v>27</v>
      </c>
      <c r="B203">
        <v>2018</v>
      </c>
      <c r="C203" t="s">
        <v>37</v>
      </c>
      <c r="D203">
        <f t="shared" si="4"/>
        <v>8</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s="2">
        <f>'Missing values'!V244</f>
        <v>144.6</v>
      </c>
      <c r="W203">
        <v>147.69999999999999</v>
      </c>
      <c r="X203">
        <v>143.80000000000001</v>
      </c>
      <c r="Y203">
        <v>139.4</v>
      </c>
      <c r="Z203">
        <v>131.30000000000001</v>
      </c>
      <c r="AA203">
        <v>146.9</v>
      </c>
      <c r="AB203">
        <v>138.6</v>
      </c>
      <c r="AC203">
        <v>128.30000000000001</v>
      </c>
      <c r="AD203">
        <v>136.6</v>
      </c>
      <c r="AE203">
        <v>142.5</v>
      </c>
    </row>
    <row r="204" spans="1:31" x14ac:dyDescent="0.3">
      <c r="A204" t="s">
        <v>30</v>
      </c>
      <c r="B204">
        <v>2018</v>
      </c>
      <c r="C204" t="s">
        <v>37</v>
      </c>
      <c r="D204">
        <f t="shared" si="4"/>
        <v>8</v>
      </c>
      <c r="E204">
        <v>138.30000000000001</v>
      </c>
      <c r="F204">
        <v>148</v>
      </c>
      <c r="G204">
        <v>138.1</v>
      </c>
      <c r="H204">
        <v>142.6</v>
      </c>
      <c r="I204">
        <v>122.2</v>
      </c>
      <c r="J204">
        <v>150.6</v>
      </c>
      <c r="K204">
        <v>156.6</v>
      </c>
      <c r="L204">
        <v>122.4</v>
      </c>
      <c r="M204">
        <v>114.7</v>
      </c>
      <c r="N204">
        <v>139.4</v>
      </c>
      <c r="O204">
        <v>131.1</v>
      </c>
      <c r="P204">
        <v>153</v>
      </c>
      <c r="Q204">
        <v>141.69999999999999</v>
      </c>
      <c r="R204">
        <v>157.9</v>
      </c>
      <c r="S204">
        <v>147.30000000000001</v>
      </c>
      <c r="T204">
        <v>138.80000000000001</v>
      </c>
      <c r="U204">
        <v>146.1</v>
      </c>
      <c r="V204">
        <v>144.6</v>
      </c>
      <c r="W204">
        <v>140.9</v>
      </c>
      <c r="X204">
        <v>139.4</v>
      </c>
      <c r="Y204">
        <v>137.69999999999999</v>
      </c>
      <c r="Z204">
        <v>130.1</v>
      </c>
      <c r="AA204">
        <v>146</v>
      </c>
      <c r="AB204">
        <v>133.6</v>
      </c>
      <c r="AC204">
        <v>124.3</v>
      </c>
      <c r="AD204">
        <v>133.9</v>
      </c>
      <c r="AE204">
        <v>140.4</v>
      </c>
    </row>
    <row r="205" spans="1:31" x14ac:dyDescent="0.3">
      <c r="A205" t="s">
        <v>29</v>
      </c>
      <c r="B205">
        <v>2018</v>
      </c>
      <c r="C205" t="s">
        <v>37</v>
      </c>
      <c r="D205">
        <f t="shared" si="4"/>
        <v>8</v>
      </c>
      <c r="E205">
        <v>136.5</v>
      </c>
      <c r="F205">
        <v>146.4</v>
      </c>
      <c r="G205">
        <v>136.6</v>
      </c>
      <c r="H205">
        <v>141.19999999999999</v>
      </c>
      <c r="I205">
        <v>117.4</v>
      </c>
      <c r="J205">
        <v>146.30000000000001</v>
      </c>
      <c r="K205">
        <v>157.30000000000001</v>
      </c>
      <c r="L205">
        <v>113.6</v>
      </c>
      <c r="M205">
        <v>113.3</v>
      </c>
      <c r="N205">
        <v>141.1</v>
      </c>
      <c r="O205">
        <v>127.4</v>
      </c>
      <c r="P205">
        <v>150.4</v>
      </c>
      <c r="Q205">
        <v>140.1</v>
      </c>
      <c r="R205">
        <v>162.1</v>
      </c>
      <c r="S205">
        <v>140</v>
      </c>
      <c r="T205">
        <v>129</v>
      </c>
      <c r="U205">
        <v>138.30000000000001</v>
      </c>
      <c r="V205">
        <v>144.6</v>
      </c>
      <c r="W205">
        <v>129.80000000000001</v>
      </c>
      <c r="X205">
        <v>134.4</v>
      </c>
      <c r="Y205">
        <v>134.9</v>
      </c>
      <c r="Z205">
        <v>128.30000000000001</v>
      </c>
      <c r="AA205">
        <v>145.30000000000001</v>
      </c>
      <c r="AB205">
        <v>129.80000000000001</v>
      </c>
      <c r="AC205">
        <v>120.7</v>
      </c>
      <c r="AD205">
        <v>131</v>
      </c>
      <c r="AE205">
        <v>138</v>
      </c>
    </row>
    <row r="206" spans="1:31" x14ac:dyDescent="0.3">
      <c r="A206" t="s">
        <v>27</v>
      </c>
      <c r="B206">
        <v>2018</v>
      </c>
      <c r="C206" t="s">
        <v>38</v>
      </c>
      <c r="D206">
        <f t="shared" si="4"/>
        <v>9</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s="2">
        <f>'Missing values'!V274</f>
        <v>145.30000000000001</v>
      </c>
      <c r="W206">
        <v>149</v>
      </c>
      <c r="X206">
        <v>144</v>
      </c>
      <c r="Y206">
        <v>140</v>
      </c>
      <c r="Z206">
        <v>132</v>
      </c>
      <c r="AA206">
        <v>147.6</v>
      </c>
      <c r="AB206">
        <v>140</v>
      </c>
      <c r="AC206">
        <v>129.9</v>
      </c>
      <c r="AD206">
        <v>137.4</v>
      </c>
      <c r="AE206">
        <v>142.1</v>
      </c>
    </row>
    <row r="207" spans="1:31" x14ac:dyDescent="0.3">
      <c r="A207" t="s">
        <v>30</v>
      </c>
      <c r="B207">
        <v>2018</v>
      </c>
      <c r="C207" t="s">
        <v>38</v>
      </c>
      <c r="D207">
        <f t="shared" si="4"/>
        <v>9</v>
      </c>
      <c r="E207">
        <v>138.6</v>
      </c>
      <c r="F207">
        <v>145.80000000000001</v>
      </c>
      <c r="G207">
        <v>135.1</v>
      </c>
      <c r="H207">
        <v>142.9</v>
      </c>
      <c r="I207">
        <v>122.1</v>
      </c>
      <c r="J207">
        <v>145.4</v>
      </c>
      <c r="K207">
        <v>150</v>
      </c>
      <c r="L207">
        <v>121.4</v>
      </c>
      <c r="M207">
        <v>113.7</v>
      </c>
      <c r="N207">
        <v>139.5</v>
      </c>
      <c r="O207">
        <v>130.80000000000001</v>
      </c>
      <c r="P207">
        <v>153.80000000000001</v>
      </c>
      <c r="Q207">
        <v>140.4</v>
      </c>
      <c r="R207">
        <v>159.19999999999999</v>
      </c>
      <c r="S207">
        <v>147.69999999999999</v>
      </c>
      <c r="T207">
        <v>139.1</v>
      </c>
      <c r="U207">
        <v>146.5</v>
      </c>
      <c r="V207">
        <v>145.30000000000001</v>
      </c>
      <c r="W207">
        <v>142.30000000000001</v>
      </c>
      <c r="X207">
        <v>139.69999999999999</v>
      </c>
      <c r="Y207">
        <v>138.4</v>
      </c>
      <c r="Z207">
        <v>130.9</v>
      </c>
      <c r="AA207">
        <v>146.19999999999999</v>
      </c>
      <c r="AB207">
        <v>134.5</v>
      </c>
      <c r="AC207">
        <v>126</v>
      </c>
      <c r="AD207">
        <v>134.69999999999999</v>
      </c>
      <c r="AE207">
        <v>140.19999999999999</v>
      </c>
    </row>
    <row r="208" spans="1:31" x14ac:dyDescent="0.3">
      <c r="A208" t="s">
        <v>29</v>
      </c>
      <c r="B208">
        <v>2018</v>
      </c>
      <c r="C208" t="s">
        <v>38</v>
      </c>
      <c r="D208">
        <f t="shared" si="4"/>
        <v>9</v>
      </c>
      <c r="E208">
        <v>137</v>
      </c>
      <c r="F208">
        <v>143.1</v>
      </c>
      <c r="G208">
        <v>132.80000000000001</v>
      </c>
      <c r="H208">
        <v>141.5</v>
      </c>
      <c r="I208">
        <v>117.8</v>
      </c>
      <c r="J208">
        <v>140</v>
      </c>
      <c r="K208">
        <v>151.30000000000001</v>
      </c>
      <c r="L208">
        <v>113.5</v>
      </c>
      <c r="M208">
        <v>112.3</v>
      </c>
      <c r="N208">
        <v>141.19999999999999</v>
      </c>
      <c r="O208">
        <v>127.7</v>
      </c>
      <c r="P208">
        <v>151.30000000000001</v>
      </c>
      <c r="Q208">
        <v>138.9</v>
      </c>
      <c r="R208">
        <v>163.30000000000001</v>
      </c>
      <c r="S208">
        <v>140.80000000000001</v>
      </c>
      <c r="T208">
        <v>129.30000000000001</v>
      </c>
      <c r="U208">
        <v>139.1</v>
      </c>
      <c r="V208">
        <v>145.30000000000001</v>
      </c>
      <c r="W208">
        <v>131.19999999999999</v>
      </c>
      <c r="X208">
        <v>134.9</v>
      </c>
      <c r="Y208">
        <v>135.69999999999999</v>
      </c>
      <c r="Z208">
        <v>129.30000000000001</v>
      </c>
      <c r="AA208">
        <v>145.19999999999999</v>
      </c>
      <c r="AB208">
        <v>130.19999999999999</v>
      </c>
      <c r="AC208">
        <v>122.5</v>
      </c>
      <c r="AD208">
        <v>131.9</v>
      </c>
      <c r="AE208">
        <v>138.1</v>
      </c>
    </row>
    <row r="209" spans="1:31" x14ac:dyDescent="0.3">
      <c r="A209" t="s">
        <v>27</v>
      </c>
      <c r="B209">
        <v>2018</v>
      </c>
      <c r="C209" t="s">
        <v>39</v>
      </c>
      <c r="D209">
        <f t="shared" si="4"/>
        <v>10</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s="2">
        <f>'Missing values'!V304</f>
        <v>146.30000000000001</v>
      </c>
      <c r="W209">
        <v>149.69999999999999</v>
      </c>
      <c r="X209">
        <v>147.5</v>
      </c>
      <c r="Y209">
        <v>144.80000000000001</v>
      </c>
      <c r="Z209">
        <v>134.4</v>
      </c>
      <c r="AA209">
        <v>148</v>
      </c>
      <c r="AB209">
        <v>140.1</v>
      </c>
      <c r="AC209">
        <v>130.80000000000001</v>
      </c>
      <c r="AD209">
        <v>139.80000000000001</v>
      </c>
      <c r="AE209">
        <v>142.19999999999999</v>
      </c>
    </row>
    <row r="210" spans="1:31" x14ac:dyDescent="0.3">
      <c r="A210" t="s">
        <v>30</v>
      </c>
      <c r="B210">
        <v>2018</v>
      </c>
      <c r="C210" t="s">
        <v>39</v>
      </c>
      <c r="D210">
        <f t="shared" si="4"/>
        <v>10</v>
      </c>
      <c r="E210">
        <v>137.4</v>
      </c>
      <c r="F210">
        <v>149.5</v>
      </c>
      <c r="G210">
        <v>137.30000000000001</v>
      </c>
      <c r="H210">
        <v>141.9</v>
      </c>
      <c r="I210">
        <v>121.1</v>
      </c>
      <c r="J210">
        <v>142.5</v>
      </c>
      <c r="K210">
        <v>146.69999999999999</v>
      </c>
      <c r="L210">
        <v>119.1</v>
      </c>
      <c r="M210">
        <v>111.9</v>
      </c>
      <c r="N210">
        <v>141</v>
      </c>
      <c r="O210">
        <v>133.6</v>
      </c>
      <c r="P210">
        <v>154.5</v>
      </c>
      <c r="Q210">
        <v>139.69999999999999</v>
      </c>
      <c r="R210">
        <v>162.6</v>
      </c>
      <c r="S210">
        <v>148</v>
      </c>
      <c r="T210">
        <v>139.19999999999999</v>
      </c>
      <c r="U210">
        <v>146.80000000000001</v>
      </c>
      <c r="V210">
        <v>146.9</v>
      </c>
      <c r="W210">
        <v>145.30000000000001</v>
      </c>
      <c r="X210">
        <v>142.19999999999999</v>
      </c>
      <c r="Y210">
        <v>142.1</v>
      </c>
      <c r="Z210">
        <v>132</v>
      </c>
      <c r="AA210">
        <v>147.80000000000001</v>
      </c>
      <c r="AB210">
        <v>136.5</v>
      </c>
      <c r="AC210">
        <v>125.5</v>
      </c>
      <c r="AD210">
        <v>136.30000000000001</v>
      </c>
      <c r="AE210">
        <v>140.80000000000001</v>
      </c>
    </row>
    <row r="211" spans="1:31" x14ac:dyDescent="0.3">
      <c r="A211" t="s">
        <v>29</v>
      </c>
      <c r="B211">
        <v>2018</v>
      </c>
      <c r="C211" t="s">
        <v>39</v>
      </c>
      <c r="D211">
        <f t="shared" si="4"/>
        <v>10</v>
      </c>
      <c r="E211">
        <v>137.6</v>
      </c>
      <c r="F211">
        <v>144.9</v>
      </c>
      <c r="G211">
        <v>133.5</v>
      </c>
      <c r="H211">
        <v>141.5</v>
      </c>
      <c r="I211">
        <v>118</v>
      </c>
      <c r="J211">
        <v>139.5</v>
      </c>
      <c r="K211">
        <v>153</v>
      </c>
      <c r="L211">
        <v>113.2</v>
      </c>
      <c r="M211">
        <v>112.8</v>
      </c>
      <c r="N211">
        <v>141.1</v>
      </c>
      <c r="O211">
        <v>127.6</v>
      </c>
      <c r="P211">
        <v>152</v>
      </c>
      <c r="Q211">
        <v>139.4</v>
      </c>
      <c r="R211">
        <v>164</v>
      </c>
      <c r="S211">
        <v>141.5</v>
      </c>
      <c r="T211">
        <v>129.80000000000001</v>
      </c>
      <c r="U211">
        <v>139.69999999999999</v>
      </c>
      <c r="V211">
        <v>146.30000000000001</v>
      </c>
      <c r="W211">
        <v>133.4</v>
      </c>
      <c r="X211">
        <v>135.1</v>
      </c>
      <c r="Y211">
        <v>136.19999999999999</v>
      </c>
      <c r="Z211">
        <v>130.4</v>
      </c>
      <c r="AA211">
        <v>145.5</v>
      </c>
      <c r="AB211">
        <v>130.69999999999999</v>
      </c>
      <c r="AC211">
        <v>123.3</v>
      </c>
      <c r="AD211">
        <v>132.5</v>
      </c>
      <c r="AE211">
        <v>138.9</v>
      </c>
    </row>
    <row r="212" spans="1:31" x14ac:dyDescent="0.3">
      <c r="A212" t="s">
        <v>27</v>
      </c>
      <c r="B212">
        <v>2018</v>
      </c>
      <c r="C212" t="s">
        <v>41</v>
      </c>
      <c r="D212">
        <f t="shared" si="4"/>
        <v>11</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s="2">
        <f>'Missing values'!V334</f>
        <v>146.9</v>
      </c>
      <c r="W212">
        <v>150.30000000000001</v>
      </c>
      <c r="X212">
        <v>148</v>
      </c>
      <c r="Y212">
        <v>145.4</v>
      </c>
      <c r="Z212">
        <v>133.1</v>
      </c>
      <c r="AA212">
        <v>150.19999999999999</v>
      </c>
      <c r="AB212">
        <v>143.1</v>
      </c>
      <c r="AC212">
        <v>130.30000000000001</v>
      </c>
      <c r="AD212">
        <v>140.1</v>
      </c>
      <c r="AE212">
        <v>142.4</v>
      </c>
    </row>
    <row r="213" spans="1:31" x14ac:dyDescent="0.3">
      <c r="A213" t="s">
        <v>30</v>
      </c>
      <c r="B213">
        <v>2018</v>
      </c>
      <c r="C213" t="s">
        <v>41</v>
      </c>
      <c r="D213">
        <f t="shared" si="4"/>
        <v>11</v>
      </c>
      <c r="E213">
        <v>137.4</v>
      </c>
      <c r="F213">
        <v>149.19999999999999</v>
      </c>
      <c r="G213">
        <v>137.1</v>
      </c>
      <c r="H213">
        <v>141.80000000000001</v>
      </c>
      <c r="I213">
        <v>121.1</v>
      </c>
      <c r="J213">
        <v>142.80000000000001</v>
      </c>
      <c r="K213">
        <v>146.69999999999999</v>
      </c>
      <c r="L213">
        <v>119.1</v>
      </c>
      <c r="M213">
        <v>111.9</v>
      </c>
      <c r="N213">
        <v>140.9</v>
      </c>
      <c r="O213">
        <v>133.5</v>
      </c>
      <c r="P213">
        <v>154.5</v>
      </c>
      <c r="Q213">
        <v>139.69999999999999</v>
      </c>
      <c r="R213">
        <v>162.6</v>
      </c>
      <c r="S213">
        <v>148</v>
      </c>
      <c r="T213">
        <v>139.1</v>
      </c>
      <c r="U213">
        <v>146.69999999999999</v>
      </c>
      <c r="V213">
        <v>146.9</v>
      </c>
      <c r="W213">
        <v>145.1</v>
      </c>
      <c r="X213">
        <v>142.19999999999999</v>
      </c>
      <c r="Y213">
        <v>142.1</v>
      </c>
      <c r="Z213">
        <v>132</v>
      </c>
      <c r="AA213">
        <v>147.80000000000001</v>
      </c>
      <c r="AB213">
        <v>136.5</v>
      </c>
      <c r="AC213">
        <v>125.5</v>
      </c>
      <c r="AD213">
        <v>136.30000000000001</v>
      </c>
      <c r="AE213">
        <v>140.80000000000001</v>
      </c>
    </row>
    <row r="214" spans="1:31" x14ac:dyDescent="0.3">
      <c r="A214" t="s">
        <v>29</v>
      </c>
      <c r="B214">
        <v>2018</v>
      </c>
      <c r="C214" t="s">
        <v>41</v>
      </c>
      <c r="D214">
        <f t="shared" si="4"/>
        <v>11</v>
      </c>
      <c r="E214">
        <v>138.1</v>
      </c>
      <c r="F214">
        <v>146.30000000000001</v>
      </c>
      <c r="G214">
        <v>137.80000000000001</v>
      </c>
      <c r="H214">
        <v>141.6</v>
      </c>
      <c r="I214">
        <v>118.1</v>
      </c>
      <c r="J214">
        <v>141.5</v>
      </c>
      <c r="K214">
        <v>145.19999999999999</v>
      </c>
      <c r="L214">
        <v>115.3</v>
      </c>
      <c r="M214">
        <v>112.5</v>
      </c>
      <c r="N214">
        <v>141.4</v>
      </c>
      <c r="O214">
        <v>128</v>
      </c>
      <c r="P214">
        <v>152.6</v>
      </c>
      <c r="Q214">
        <v>139.1</v>
      </c>
      <c r="R214">
        <v>164.4</v>
      </c>
      <c r="S214">
        <v>142.4</v>
      </c>
      <c r="T214">
        <v>130.19999999999999</v>
      </c>
      <c r="U214">
        <v>140.5</v>
      </c>
      <c r="V214">
        <v>146.9</v>
      </c>
      <c r="W214">
        <v>136.69999999999999</v>
      </c>
      <c r="X214">
        <v>135.80000000000001</v>
      </c>
      <c r="Y214">
        <v>136.80000000000001</v>
      </c>
      <c r="Z214">
        <v>130.5</v>
      </c>
      <c r="AA214">
        <v>146.1</v>
      </c>
      <c r="AB214">
        <v>131.30000000000001</v>
      </c>
      <c r="AC214">
        <v>121.2</v>
      </c>
      <c r="AD214">
        <v>132.19999999999999</v>
      </c>
      <c r="AE214">
        <v>139</v>
      </c>
    </row>
    <row r="215" spans="1:31" x14ac:dyDescent="0.3">
      <c r="A215" t="s">
        <v>27</v>
      </c>
      <c r="B215">
        <v>2018</v>
      </c>
      <c r="C215" t="s">
        <v>42</v>
      </c>
      <c r="D215">
        <f t="shared" si="4"/>
        <v>12</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s="2">
        <f>'Missing values'!V364</f>
        <v>146.5</v>
      </c>
      <c r="W215">
        <v>149</v>
      </c>
      <c r="X215">
        <v>149.5</v>
      </c>
      <c r="Y215">
        <v>149.6</v>
      </c>
      <c r="Z215">
        <v>133.19999999999999</v>
      </c>
      <c r="AA215">
        <v>155.1</v>
      </c>
      <c r="AB215">
        <v>143.30000000000001</v>
      </c>
      <c r="AC215">
        <v>128.9</v>
      </c>
      <c r="AD215">
        <v>141.6</v>
      </c>
      <c r="AE215">
        <v>141.9</v>
      </c>
    </row>
    <row r="216" spans="1:31" x14ac:dyDescent="0.3">
      <c r="A216" t="s">
        <v>30</v>
      </c>
      <c r="B216">
        <v>2018</v>
      </c>
      <c r="C216" t="s">
        <v>42</v>
      </c>
      <c r="D216">
        <f t="shared" si="4"/>
        <v>12</v>
      </c>
      <c r="E216">
        <v>137.5</v>
      </c>
      <c r="F216">
        <v>150.5</v>
      </c>
      <c r="G216">
        <v>138.80000000000001</v>
      </c>
      <c r="H216">
        <v>142.1</v>
      </c>
      <c r="I216">
        <v>122</v>
      </c>
      <c r="J216">
        <v>139.4</v>
      </c>
      <c r="K216">
        <v>135.19999999999999</v>
      </c>
      <c r="L216">
        <v>119.8</v>
      </c>
      <c r="M216">
        <v>110.3</v>
      </c>
      <c r="N216">
        <v>140.6</v>
      </c>
      <c r="O216">
        <v>133.80000000000001</v>
      </c>
      <c r="P216">
        <v>154.6</v>
      </c>
      <c r="Q216">
        <v>138.19999999999999</v>
      </c>
      <c r="R216">
        <v>163</v>
      </c>
      <c r="S216">
        <v>148.1</v>
      </c>
      <c r="T216">
        <v>139.4</v>
      </c>
      <c r="U216">
        <v>146.80000000000001</v>
      </c>
      <c r="V216">
        <v>146.5</v>
      </c>
      <c r="W216">
        <v>142.69999999999999</v>
      </c>
      <c r="X216">
        <v>143.19999999999999</v>
      </c>
      <c r="Y216">
        <v>144.9</v>
      </c>
      <c r="Z216">
        <v>132.19999999999999</v>
      </c>
      <c r="AA216">
        <v>150.1</v>
      </c>
      <c r="AB216">
        <v>136.80000000000001</v>
      </c>
      <c r="AC216">
        <v>123.6</v>
      </c>
      <c r="AD216">
        <v>136.80000000000001</v>
      </c>
      <c r="AE216">
        <v>140.1</v>
      </c>
    </row>
    <row r="217" spans="1:31" x14ac:dyDescent="0.3">
      <c r="A217" t="s">
        <v>29</v>
      </c>
      <c r="B217">
        <v>2018</v>
      </c>
      <c r="C217" t="s">
        <v>42</v>
      </c>
      <c r="D217">
        <f t="shared" si="4"/>
        <v>12</v>
      </c>
      <c r="E217">
        <v>138.5</v>
      </c>
      <c r="F217">
        <v>147.80000000000001</v>
      </c>
      <c r="G217">
        <v>141.1</v>
      </c>
      <c r="H217">
        <v>141.6</v>
      </c>
      <c r="I217">
        <v>118.1</v>
      </c>
      <c r="J217">
        <v>138.5</v>
      </c>
      <c r="K217">
        <v>132.4</v>
      </c>
      <c r="L217">
        <v>117.5</v>
      </c>
      <c r="M217">
        <v>111</v>
      </c>
      <c r="N217">
        <v>141.5</v>
      </c>
      <c r="O217">
        <v>128.1</v>
      </c>
      <c r="P217">
        <v>152.9</v>
      </c>
      <c r="Q217">
        <v>137.6</v>
      </c>
      <c r="R217">
        <v>164.6</v>
      </c>
      <c r="S217">
        <v>142.69999999999999</v>
      </c>
      <c r="T217">
        <v>130.30000000000001</v>
      </c>
      <c r="U217">
        <v>140.80000000000001</v>
      </c>
      <c r="V217">
        <v>146.5</v>
      </c>
      <c r="W217">
        <v>132.4</v>
      </c>
      <c r="X217">
        <v>136.19999999999999</v>
      </c>
      <c r="Y217">
        <v>137.30000000000001</v>
      </c>
      <c r="Z217">
        <v>130.80000000000001</v>
      </c>
      <c r="AA217">
        <v>146.5</v>
      </c>
      <c r="AB217">
        <v>131.69999999999999</v>
      </c>
      <c r="AC217">
        <v>118.8</v>
      </c>
      <c r="AD217">
        <v>131.69999999999999</v>
      </c>
      <c r="AE217">
        <v>138</v>
      </c>
    </row>
    <row r="218" spans="1:31" x14ac:dyDescent="0.3">
      <c r="A218" t="s">
        <v>27</v>
      </c>
      <c r="B218">
        <v>2019</v>
      </c>
      <c r="C218" t="s">
        <v>28</v>
      </c>
      <c r="D218">
        <f t="shared" si="4"/>
        <v>1</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s="2">
        <f>'Missing values'!V25</f>
        <v>147.69999999999999</v>
      </c>
      <c r="W218">
        <v>146.19999999999999</v>
      </c>
      <c r="X218">
        <v>150.1</v>
      </c>
      <c r="Y218">
        <v>149.6</v>
      </c>
      <c r="Z218">
        <v>133.5</v>
      </c>
      <c r="AA218">
        <v>155.19999999999999</v>
      </c>
      <c r="AB218">
        <v>142.9</v>
      </c>
      <c r="AC218">
        <v>128.6</v>
      </c>
      <c r="AD218">
        <v>141.69999999999999</v>
      </c>
      <c r="AE218">
        <v>141</v>
      </c>
    </row>
    <row r="219" spans="1:31" x14ac:dyDescent="0.3">
      <c r="A219" t="s">
        <v>30</v>
      </c>
      <c r="B219">
        <v>2019</v>
      </c>
      <c r="C219" t="s">
        <v>28</v>
      </c>
      <c r="D219">
        <f t="shared" si="4"/>
        <v>1</v>
      </c>
      <c r="E219">
        <v>137.1</v>
      </c>
      <c r="F219">
        <v>151.4</v>
      </c>
      <c r="G219">
        <v>140.19999999999999</v>
      </c>
      <c r="H219">
        <v>142.1</v>
      </c>
      <c r="I219">
        <v>121.8</v>
      </c>
      <c r="J219">
        <v>135.4</v>
      </c>
      <c r="K219">
        <v>131.30000000000001</v>
      </c>
      <c r="L219">
        <v>120.3</v>
      </c>
      <c r="M219">
        <v>109.1</v>
      </c>
      <c r="N219">
        <v>139.4</v>
      </c>
      <c r="O219">
        <v>133.30000000000001</v>
      </c>
      <c r="P219">
        <v>154.6</v>
      </c>
      <c r="Q219">
        <v>137.4</v>
      </c>
      <c r="R219">
        <v>163.19999999999999</v>
      </c>
      <c r="S219">
        <v>147.6</v>
      </c>
      <c r="T219">
        <v>139</v>
      </c>
      <c r="U219">
        <v>146.4</v>
      </c>
      <c r="V219">
        <v>147.69999999999999</v>
      </c>
      <c r="W219">
        <v>139.5</v>
      </c>
      <c r="X219">
        <v>143.6</v>
      </c>
      <c r="Y219">
        <v>145.1</v>
      </c>
      <c r="Z219">
        <v>132.80000000000001</v>
      </c>
      <c r="AA219">
        <v>150.19999999999999</v>
      </c>
      <c r="AB219">
        <v>136.69999999999999</v>
      </c>
      <c r="AC219">
        <v>123.3</v>
      </c>
      <c r="AD219">
        <v>136.9</v>
      </c>
      <c r="AE219">
        <v>139.6</v>
      </c>
    </row>
    <row r="220" spans="1:31" x14ac:dyDescent="0.3">
      <c r="A220" t="s">
        <v>29</v>
      </c>
      <c r="B220">
        <v>2019</v>
      </c>
      <c r="C220" t="s">
        <v>28</v>
      </c>
      <c r="D220">
        <f t="shared" si="4"/>
        <v>1</v>
      </c>
      <c r="E220">
        <v>138.30000000000001</v>
      </c>
      <c r="F220">
        <v>149.4</v>
      </c>
      <c r="G220">
        <v>143.5</v>
      </c>
      <c r="H220">
        <v>141.69999999999999</v>
      </c>
      <c r="I220">
        <v>118.1</v>
      </c>
      <c r="J220">
        <v>135.19999999999999</v>
      </c>
      <c r="K220">
        <v>130.5</v>
      </c>
      <c r="L220">
        <v>118.2</v>
      </c>
      <c r="M220">
        <v>110.4</v>
      </c>
      <c r="N220">
        <v>140.4</v>
      </c>
      <c r="O220">
        <v>128.1</v>
      </c>
      <c r="P220">
        <v>153.19999999999999</v>
      </c>
      <c r="Q220">
        <v>137.30000000000001</v>
      </c>
      <c r="R220">
        <v>164.7</v>
      </c>
      <c r="S220">
        <v>143</v>
      </c>
      <c r="T220">
        <v>130.4</v>
      </c>
      <c r="U220">
        <v>141.1</v>
      </c>
      <c r="V220">
        <v>147.69999999999999</v>
      </c>
      <c r="W220">
        <v>128.6</v>
      </c>
      <c r="X220">
        <v>136.30000000000001</v>
      </c>
      <c r="Y220">
        <v>137.80000000000001</v>
      </c>
      <c r="Z220">
        <v>131.69999999999999</v>
      </c>
      <c r="AA220">
        <v>146.6</v>
      </c>
      <c r="AB220">
        <v>131.9</v>
      </c>
      <c r="AC220">
        <v>118.6</v>
      </c>
      <c r="AD220">
        <v>131.80000000000001</v>
      </c>
      <c r="AE220">
        <v>138</v>
      </c>
    </row>
    <row r="221" spans="1:31" x14ac:dyDescent="0.3">
      <c r="A221" t="s">
        <v>27</v>
      </c>
      <c r="B221">
        <v>2019</v>
      </c>
      <c r="C221" t="s">
        <v>31</v>
      </c>
      <c r="D221">
        <f t="shared" si="4"/>
        <v>2</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s="2">
        <f>'Missing values'!V58</f>
        <v>148.5</v>
      </c>
      <c r="W221">
        <v>145.30000000000001</v>
      </c>
      <c r="X221">
        <v>150.1</v>
      </c>
      <c r="Y221">
        <v>149.9</v>
      </c>
      <c r="Z221">
        <v>134.9</v>
      </c>
      <c r="AA221">
        <v>155.5</v>
      </c>
      <c r="AB221">
        <v>143.4</v>
      </c>
      <c r="AC221">
        <v>129.19999999999999</v>
      </c>
      <c r="AD221">
        <v>142.19999999999999</v>
      </c>
      <c r="AE221">
        <v>141</v>
      </c>
    </row>
    <row r="222" spans="1:31" x14ac:dyDescent="0.3">
      <c r="A222" t="s">
        <v>30</v>
      </c>
      <c r="B222">
        <v>2019</v>
      </c>
      <c r="C222" t="s">
        <v>31</v>
      </c>
      <c r="D222">
        <f t="shared" si="4"/>
        <v>2</v>
      </c>
      <c r="E222">
        <v>137.6</v>
      </c>
      <c r="F222">
        <v>152</v>
      </c>
      <c r="G222">
        <v>141.5</v>
      </c>
      <c r="H222">
        <v>142.19999999999999</v>
      </c>
      <c r="I222">
        <v>122</v>
      </c>
      <c r="J222">
        <v>136.4</v>
      </c>
      <c r="K222">
        <v>129.69999999999999</v>
      </c>
      <c r="L222">
        <v>121</v>
      </c>
      <c r="M222">
        <v>109</v>
      </c>
      <c r="N222">
        <v>139.69999999999999</v>
      </c>
      <c r="O222">
        <v>133.6</v>
      </c>
      <c r="P222">
        <v>154.9</v>
      </c>
      <c r="Q222">
        <v>137.5</v>
      </c>
      <c r="R222">
        <v>163.4</v>
      </c>
      <c r="S222">
        <v>147.69999999999999</v>
      </c>
      <c r="T222">
        <v>139.69999999999999</v>
      </c>
      <c r="U222">
        <v>146.5</v>
      </c>
      <c r="V222">
        <v>148.5</v>
      </c>
      <c r="W222">
        <v>138.4</v>
      </c>
      <c r="X222">
        <v>143.69999999999999</v>
      </c>
      <c r="Y222">
        <v>145.6</v>
      </c>
      <c r="Z222">
        <v>134.1</v>
      </c>
      <c r="AA222">
        <v>150.30000000000001</v>
      </c>
      <c r="AB222">
        <v>137.1</v>
      </c>
      <c r="AC222">
        <v>123.9</v>
      </c>
      <c r="AD222">
        <v>137.4</v>
      </c>
      <c r="AE222">
        <v>139.9</v>
      </c>
    </row>
    <row r="223" spans="1:31" x14ac:dyDescent="0.3">
      <c r="A223" t="s">
        <v>29</v>
      </c>
      <c r="B223">
        <v>2019</v>
      </c>
      <c r="C223" t="s">
        <v>31</v>
      </c>
      <c r="D223">
        <f t="shared" si="4"/>
        <v>2</v>
      </c>
      <c r="E223">
        <v>139.4</v>
      </c>
      <c r="F223">
        <v>150.1</v>
      </c>
      <c r="G223">
        <v>145.30000000000001</v>
      </c>
      <c r="H223">
        <v>141.69999999999999</v>
      </c>
      <c r="I223">
        <v>118.4</v>
      </c>
      <c r="J223">
        <v>137</v>
      </c>
      <c r="K223">
        <v>131.6</v>
      </c>
      <c r="L223">
        <v>119.9</v>
      </c>
      <c r="M223">
        <v>110.4</v>
      </c>
      <c r="N223">
        <v>140.80000000000001</v>
      </c>
      <c r="O223">
        <v>128.30000000000001</v>
      </c>
      <c r="P223">
        <v>153.5</v>
      </c>
      <c r="Q223">
        <v>138</v>
      </c>
      <c r="R223">
        <v>164.9</v>
      </c>
      <c r="S223">
        <v>143.30000000000001</v>
      </c>
      <c r="T223">
        <v>130.80000000000001</v>
      </c>
      <c r="U223">
        <v>141.4</v>
      </c>
      <c r="V223">
        <v>148.5</v>
      </c>
      <c r="W223">
        <v>127.1</v>
      </c>
      <c r="X223">
        <v>136.6</v>
      </c>
      <c r="Y223">
        <v>138.5</v>
      </c>
      <c r="Z223">
        <v>133</v>
      </c>
      <c r="AA223">
        <v>146.6</v>
      </c>
      <c r="AB223">
        <v>132.19999999999999</v>
      </c>
      <c r="AC223">
        <v>119.2</v>
      </c>
      <c r="AD223">
        <v>132.4</v>
      </c>
      <c r="AE223">
        <v>138.6</v>
      </c>
    </row>
    <row r="224" spans="1:31" x14ac:dyDescent="0.3">
      <c r="A224" t="s">
        <v>27</v>
      </c>
      <c r="B224">
        <v>2019</v>
      </c>
      <c r="C224" t="s">
        <v>32</v>
      </c>
      <c r="D224">
        <f t="shared" si="4"/>
        <v>3</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s="2">
        <f>'Missing values'!V91</f>
        <v>149</v>
      </c>
      <c r="W224">
        <v>146.4</v>
      </c>
      <c r="X224">
        <v>150</v>
      </c>
      <c r="Y224">
        <v>150.4</v>
      </c>
      <c r="Z224">
        <v>134</v>
      </c>
      <c r="AA224">
        <v>155.5</v>
      </c>
      <c r="AB224">
        <v>143.80000000000001</v>
      </c>
      <c r="AC224">
        <v>129.9</v>
      </c>
      <c r="AD224">
        <v>142.4</v>
      </c>
      <c r="AE224">
        <v>141.19999999999999</v>
      </c>
    </row>
    <row r="225" spans="1:31" x14ac:dyDescent="0.3">
      <c r="A225" t="s">
        <v>30</v>
      </c>
      <c r="B225">
        <v>2019</v>
      </c>
      <c r="C225" t="s">
        <v>32</v>
      </c>
      <c r="D225">
        <f t="shared" si="4"/>
        <v>3</v>
      </c>
      <c r="E225">
        <v>137.80000000000001</v>
      </c>
      <c r="F225">
        <v>153</v>
      </c>
      <c r="G225">
        <v>140.30000000000001</v>
      </c>
      <c r="H225">
        <v>142.30000000000001</v>
      </c>
      <c r="I225">
        <v>122</v>
      </c>
      <c r="J225">
        <v>137.6</v>
      </c>
      <c r="K225">
        <v>132.6</v>
      </c>
      <c r="L225">
        <v>121.8</v>
      </c>
      <c r="M225">
        <v>109</v>
      </c>
      <c r="N225">
        <v>139.5</v>
      </c>
      <c r="O225">
        <v>133.69999999999999</v>
      </c>
      <c r="P225">
        <v>155.19999999999999</v>
      </c>
      <c r="Q225">
        <v>138.1</v>
      </c>
      <c r="R225">
        <v>163.5</v>
      </c>
      <c r="S225">
        <v>147.9</v>
      </c>
      <c r="T225">
        <v>139.9</v>
      </c>
      <c r="U225">
        <v>146.69999999999999</v>
      </c>
      <c r="V225">
        <v>149</v>
      </c>
      <c r="W225">
        <v>139.69999999999999</v>
      </c>
      <c r="X225">
        <v>143.80000000000001</v>
      </c>
      <c r="Y225">
        <v>146.19999999999999</v>
      </c>
      <c r="Z225">
        <v>133.4</v>
      </c>
      <c r="AA225">
        <v>150.30000000000001</v>
      </c>
      <c r="AB225">
        <v>137.69999999999999</v>
      </c>
      <c r="AC225">
        <v>124.6</v>
      </c>
      <c r="AD225">
        <v>137.69999999999999</v>
      </c>
      <c r="AE225">
        <v>140.4</v>
      </c>
    </row>
    <row r="226" spans="1:31" x14ac:dyDescent="0.3">
      <c r="A226" t="s">
        <v>29</v>
      </c>
      <c r="B226">
        <v>2019</v>
      </c>
      <c r="C226" t="s">
        <v>32</v>
      </c>
      <c r="D226">
        <f t="shared" si="4"/>
        <v>3</v>
      </c>
      <c r="E226">
        <v>139.69999999999999</v>
      </c>
      <c r="F226">
        <v>151.1</v>
      </c>
      <c r="G226">
        <v>142.9</v>
      </c>
      <c r="H226">
        <v>141.9</v>
      </c>
      <c r="I226">
        <v>118.4</v>
      </c>
      <c r="J226">
        <v>139.4</v>
      </c>
      <c r="K226">
        <v>141.19999999999999</v>
      </c>
      <c r="L226">
        <v>120.7</v>
      </c>
      <c r="M226">
        <v>110.4</v>
      </c>
      <c r="N226">
        <v>140.69999999999999</v>
      </c>
      <c r="O226">
        <v>128.5</v>
      </c>
      <c r="P226">
        <v>153.9</v>
      </c>
      <c r="Q226">
        <v>139.6</v>
      </c>
      <c r="R226">
        <v>165.3</v>
      </c>
      <c r="S226">
        <v>143.5</v>
      </c>
      <c r="T226">
        <v>131.19999999999999</v>
      </c>
      <c r="U226">
        <v>141.6</v>
      </c>
      <c r="V226">
        <v>149</v>
      </c>
      <c r="W226">
        <v>128.80000000000001</v>
      </c>
      <c r="X226">
        <v>136.80000000000001</v>
      </c>
      <c r="Y226">
        <v>139.19999999999999</v>
      </c>
      <c r="Z226">
        <v>132.5</v>
      </c>
      <c r="AA226">
        <v>146.69999999999999</v>
      </c>
      <c r="AB226">
        <v>133</v>
      </c>
      <c r="AC226">
        <v>119.9</v>
      </c>
      <c r="AD226">
        <v>132.80000000000001</v>
      </c>
      <c r="AE226">
        <v>139.5</v>
      </c>
    </row>
    <row r="227" spans="1:31" x14ac:dyDescent="0.3">
      <c r="A227" t="s">
        <v>27</v>
      </c>
      <c r="B227">
        <v>2019</v>
      </c>
      <c r="C227" t="s">
        <v>34</v>
      </c>
      <c r="D227">
        <f t="shared" si="4"/>
        <v>5</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s="2">
        <f>'Missing values'!V154</f>
        <v>150.1</v>
      </c>
      <c r="W227">
        <v>146.9</v>
      </c>
      <c r="X227">
        <v>149.5</v>
      </c>
      <c r="Y227">
        <v>151.30000000000001</v>
      </c>
      <c r="Z227">
        <v>133.9</v>
      </c>
      <c r="AA227">
        <v>156.69999999999999</v>
      </c>
      <c r="AB227">
        <v>145.9</v>
      </c>
      <c r="AC227">
        <v>130.19999999999999</v>
      </c>
      <c r="AD227">
        <v>142.9</v>
      </c>
      <c r="AE227">
        <v>142.4</v>
      </c>
    </row>
    <row r="228" spans="1:31" x14ac:dyDescent="0.3">
      <c r="A228" t="s">
        <v>30</v>
      </c>
      <c r="B228">
        <v>2019</v>
      </c>
      <c r="C228" t="s">
        <v>34</v>
      </c>
      <c r="D228">
        <f t="shared" si="4"/>
        <v>5</v>
      </c>
      <c r="E228">
        <v>138.30000000000001</v>
      </c>
      <c r="F228">
        <v>158.5</v>
      </c>
      <c r="G228">
        <v>136</v>
      </c>
      <c r="H228">
        <v>142.5</v>
      </c>
      <c r="I228">
        <v>122</v>
      </c>
      <c r="J228">
        <v>146.5</v>
      </c>
      <c r="K228">
        <v>143</v>
      </c>
      <c r="L228">
        <v>124.9</v>
      </c>
      <c r="M228">
        <v>109.9</v>
      </c>
      <c r="N228">
        <v>139.9</v>
      </c>
      <c r="O228">
        <v>134</v>
      </c>
      <c r="P228">
        <v>155.5</v>
      </c>
      <c r="Q228">
        <v>140.9</v>
      </c>
      <c r="R228">
        <v>164.1</v>
      </c>
      <c r="S228">
        <v>148.4</v>
      </c>
      <c r="T228">
        <v>140.4</v>
      </c>
      <c r="U228">
        <v>147.30000000000001</v>
      </c>
      <c r="V228">
        <v>150.1</v>
      </c>
      <c r="W228">
        <v>140.30000000000001</v>
      </c>
      <c r="X228">
        <v>143.69999999999999</v>
      </c>
      <c r="Y228">
        <v>146.9</v>
      </c>
      <c r="Z228">
        <v>133.4</v>
      </c>
      <c r="AA228">
        <v>151.6</v>
      </c>
      <c r="AB228">
        <v>139.19999999999999</v>
      </c>
      <c r="AC228">
        <v>124.9</v>
      </c>
      <c r="AD228">
        <v>138.19999999999999</v>
      </c>
      <c r="AE228">
        <v>142</v>
      </c>
    </row>
    <row r="229" spans="1:31" x14ac:dyDescent="0.3">
      <c r="A229" t="s">
        <v>29</v>
      </c>
      <c r="B229">
        <v>2019</v>
      </c>
      <c r="C229" t="s">
        <v>34</v>
      </c>
      <c r="D229">
        <f t="shared" si="4"/>
        <v>5</v>
      </c>
      <c r="E229">
        <v>140.4</v>
      </c>
      <c r="F229">
        <v>156.69999999999999</v>
      </c>
      <c r="G229">
        <v>138.30000000000001</v>
      </c>
      <c r="H229">
        <v>142.4</v>
      </c>
      <c r="I229">
        <v>118.6</v>
      </c>
      <c r="J229">
        <v>149.69999999999999</v>
      </c>
      <c r="K229">
        <v>161.6</v>
      </c>
      <c r="L229">
        <v>124.4</v>
      </c>
      <c r="M229">
        <v>111.2</v>
      </c>
      <c r="N229">
        <v>141</v>
      </c>
      <c r="O229">
        <v>128.9</v>
      </c>
      <c r="P229">
        <v>154.5</v>
      </c>
      <c r="Q229">
        <v>143.80000000000001</v>
      </c>
      <c r="R229">
        <v>166.2</v>
      </c>
      <c r="S229">
        <v>144</v>
      </c>
      <c r="T229">
        <v>131.69999999999999</v>
      </c>
      <c r="U229">
        <v>142.19999999999999</v>
      </c>
      <c r="V229">
        <v>150.1</v>
      </c>
      <c r="W229">
        <v>129.4</v>
      </c>
      <c r="X229">
        <v>137.19999999999999</v>
      </c>
      <c r="Y229">
        <v>139.80000000000001</v>
      </c>
      <c r="Z229">
        <v>132.6</v>
      </c>
      <c r="AA229">
        <v>148</v>
      </c>
      <c r="AB229">
        <v>134</v>
      </c>
      <c r="AC229">
        <v>120.1</v>
      </c>
      <c r="AD229">
        <v>133.30000000000001</v>
      </c>
      <c r="AE229">
        <v>141.5</v>
      </c>
    </row>
    <row r="230" spans="1:31" x14ac:dyDescent="0.3">
      <c r="A230" t="s">
        <v>27</v>
      </c>
      <c r="B230">
        <v>2019</v>
      </c>
      <c r="C230" t="s">
        <v>35</v>
      </c>
      <c r="D230">
        <f t="shared" si="4"/>
        <v>6</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s="2">
        <f>'Missing values'!V187</f>
        <v>149.4</v>
      </c>
      <c r="W230">
        <v>147.80000000000001</v>
      </c>
      <c r="X230">
        <v>149.6</v>
      </c>
      <c r="Y230">
        <v>151.69999999999999</v>
      </c>
      <c r="Z230">
        <v>134.80000000000001</v>
      </c>
      <c r="AA230">
        <v>157.69999999999999</v>
      </c>
      <c r="AB230">
        <v>146.4</v>
      </c>
      <c r="AC230">
        <v>130.19999999999999</v>
      </c>
      <c r="AD230">
        <v>143.30000000000001</v>
      </c>
      <c r="AE230">
        <v>143.6</v>
      </c>
    </row>
    <row r="231" spans="1:31" x14ac:dyDescent="0.3">
      <c r="A231" t="s">
        <v>30</v>
      </c>
      <c r="B231">
        <v>2019</v>
      </c>
      <c r="C231" t="s">
        <v>35</v>
      </c>
      <c r="D231">
        <f t="shared" si="4"/>
        <v>6</v>
      </c>
      <c r="E231">
        <v>138.69999999999999</v>
      </c>
      <c r="F231">
        <v>162.1</v>
      </c>
      <c r="G231">
        <v>137.80000000000001</v>
      </c>
      <c r="H231">
        <v>143.30000000000001</v>
      </c>
      <c r="I231">
        <v>122.2</v>
      </c>
      <c r="J231">
        <v>146.80000000000001</v>
      </c>
      <c r="K231">
        <v>150.5</v>
      </c>
      <c r="L231">
        <v>128.30000000000001</v>
      </c>
      <c r="M231">
        <v>111</v>
      </c>
      <c r="N231">
        <v>140.6</v>
      </c>
      <c r="O231">
        <v>134.19999999999999</v>
      </c>
      <c r="P231">
        <v>155.9</v>
      </c>
      <c r="Q231">
        <v>142.69999999999999</v>
      </c>
      <c r="R231">
        <v>164.9</v>
      </c>
      <c r="S231">
        <v>148.6</v>
      </c>
      <c r="T231">
        <v>140.4</v>
      </c>
      <c r="U231">
        <v>147.4</v>
      </c>
      <c r="V231">
        <v>149.4</v>
      </c>
      <c r="W231">
        <v>141.19999999999999</v>
      </c>
      <c r="X231">
        <v>143.80000000000001</v>
      </c>
      <c r="Y231">
        <v>147.4</v>
      </c>
      <c r="Z231">
        <v>134.30000000000001</v>
      </c>
      <c r="AA231">
        <v>152.5</v>
      </c>
      <c r="AB231">
        <v>139.6</v>
      </c>
      <c r="AC231">
        <v>124.6</v>
      </c>
      <c r="AD231">
        <v>138.6</v>
      </c>
      <c r="AE231">
        <v>142.9</v>
      </c>
    </row>
    <row r="232" spans="1:31" x14ac:dyDescent="0.3">
      <c r="A232" t="s">
        <v>29</v>
      </c>
      <c r="B232">
        <v>2019</v>
      </c>
      <c r="C232" t="s">
        <v>35</v>
      </c>
      <c r="D232">
        <f t="shared" si="4"/>
        <v>6</v>
      </c>
      <c r="E232">
        <v>140.69999999999999</v>
      </c>
      <c r="F232">
        <v>159.6</v>
      </c>
      <c r="G232">
        <v>140.4</v>
      </c>
      <c r="H232">
        <v>143.4</v>
      </c>
      <c r="I232">
        <v>118.6</v>
      </c>
      <c r="J232">
        <v>150.9</v>
      </c>
      <c r="K232">
        <v>169.8</v>
      </c>
      <c r="L232">
        <v>127.4</v>
      </c>
      <c r="M232">
        <v>111.8</v>
      </c>
      <c r="N232">
        <v>141</v>
      </c>
      <c r="O232">
        <v>129</v>
      </c>
      <c r="P232">
        <v>155.1</v>
      </c>
      <c r="Q232">
        <v>145.6</v>
      </c>
      <c r="R232">
        <v>166.7</v>
      </c>
      <c r="S232">
        <v>144.30000000000001</v>
      </c>
      <c r="T232">
        <v>131.69999999999999</v>
      </c>
      <c r="U232">
        <v>142.4</v>
      </c>
      <c r="V232">
        <v>149.4</v>
      </c>
      <c r="W232">
        <v>130.5</v>
      </c>
      <c r="X232">
        <v>137.4</v>
      </c>
      <c r="Y232">
        <v>140.30000000000001</v>
      </c>
      <c r="Z232">
        <v>133.69999999999999</v>
      </c>
      <c r="AA232">
        <v>148.9</v>
      </c>
      <c r="AB232">
        <v>134.30000000000001</v>
      </c>
      <c r="AC232">
        <v>119.6</v>
      </c>
      <c r="AD232">
        <v>133.6</v>
      </c>
      <c r="AE232">
        <v>142.1</v>
      </c>
    </row>
    <row r="233" spans="1:31" x14ac:dyDescent="0.3">
      <c r="A233" t="s">
        <v>27</v>
      </c>
      <c r="B233">
        <v>2019</v>
      </c>
      <c r="C233" t="s">
        <v>36</v>
      </c>
      <c r="D233">
        <f t="shared" si="4"/>
        <v>7</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s="2">
        <f>'Missing values'!V217</f>
        <v>150.6</v>
      </c>
      <c r="W233">
        <v>146.80000000000001</v>
      </c>
      <c r="X233">
        <v>150</v>
      </c>
      <c r="Y233">
        <v>152.19999999999999</v>
      </c>
      <c r="Z233">
        <v>136.1</v>
      </c>
      <c r="AA233">
        <v>159.1</v>
      </c>
      <c r="AB233">
        <v>147.5</v>
      </c>
      <c r="AC233">
        <v>131.19999999999999</v>
      </c>
      <c r="AD233">
        <v>144.19999999999999</v>
      </c>
      <c r="AE233">
        <v>144.9</v>
      </c>
    </row>
    <row r="234" spans="1:31" x14ac:dyDescent="0.3">
      <c r="A234" t="s">
        <v>30</v>
      </c>
      <c r="B234">
        <v>2019</v>
      </c>
      <c r="C234" t="s">
        <v>36</v>
      </c>
      <c r="D234">
        <f t="shared" si="4"/>
        <v>7</v>
      </c>
      <c r="E234">
        <v>139.30000000000001</v>
      </c>
      <c r="F234">
        <v>162.69999999999999</v>
      </c>
      <c r="G234">
        <v>140</v>
      </c>
      <c r="H234">
        <v>144</v>
      </c>
      <c r="I234">
        <v>122.5</v>
      </c>
      <c r="J234">
        <v>150.30000000000001</v>
      </c>
      <c r="K234">
        <v>160.30000000000001</v>
      </c>
      <c r="L234">
        <v>130</v>
      </c>
      <c r="M234">
        <v>111.1</v>
      </c>
      <c r="N234">
        <v>141.69999999999999</v>
      </c>
      <c r="O234">
        <v>134.69999999999999</v>
      </c>
      <c r="P234">
        <v>156.19999999999999</v>
      </c>
      <c r="Q234">
        <v>144.69999999999999</v>
      </c>
      <c r="R234">
        <v>165.2</v>
      </c>
      <c r="S234">
        <v>148.9</v>
      </c>
      <c r="T234">
        <v>140.5</v>
      </c>
      <c r="U234">
        <v>147.6</v>
      </c>
      <c r="V234">
        <v>150.6</v>
      </c>
      <c r="W234">
        <v>139.30000000000001</v>
      </c>
      <c r="X234">
        <v>144.19999999999999</v>
      </c>
      <c r="Y234">
        <v>147.9</v>
      </c>
      <c r="Z234">
        <v>135.69999999999999</v>
      </c>
      <c r="AA234">
        <v>154</v>
      </c>
      <c r="AB234">
        <v>140.5</v>
      </c>
      <c r="AC234">
        <v>125.6</v>
      </c>
      <c r="AD234">
        <v>139.5</v>
      </c>
      <c r="AE234">
        <v>144.19999999999999</v>
      </c>
    </row>
    <row r="235" spans="1:31" x14ac:dyDescent="0.3">
      <c r="A235" t="s">
        <v>29</v>
      </c>
      <c r="B235">
        <v>2019</v>
      </c>
      <c r="C235" t="s">
        <v>36</v>
      </c>
      <c r="D235">
        <f t="shared" si="4"/>
        <v>7</v>
      </c>
      <c r="E235">
        <v>141.4</v>
      </c>
      <c r="F235">
        <v>160.19999999999999</v>
      </c>
      <c r="G235">
        <v>142.5</v>
      </c>
      <c r="H235">
        <v>144.1</v>
      </c>
      <c r="I235">
        <v>119.3</v>
      </c>
      <c r="J235">
        <v>154.69999999999999</v>
      </c>
      <c r="K235">
        <v>180.1</v>
      </c>
      <c r="L235">
        <v>128.9</v>
      </c>
      <c r="M235">
        <v>111.8</v>
      </c>
      <c r="N235">
        <v>141.6</v>
      </c>
      <c r="O235">
        <v>129.5</v>
      </c>
      <c r="P235">
        <v>155.6</v>
      </c>
      <c r="Q235">
        <v>147.69999999999999</v>
      </c>
      <c r="R235">
        <v>167.2</v>
      </c>
      <c r="S235">
        <v>144.69999999999999</v>
      </c>
      <c r="T235">
        <v>131.9</v>
      </c>
      <c r="U235">
        <v>142.69999999999999</v>
      </c>
      <c r="V235">
        <v>150.6</v>
      </c>
      <c r="W235">
        <v>127</v>
      </c>
      <c r="X235">
        <v>137.69999999999999</v>
      </c>
      <c r="Y235">
        <v>140.80000000000001</v>
      </c>
      <c r="Z235">
        <v>135.1</v>
      </c>
      <c r="AA235">
        <v>150.4</v>
      </c>
      <c r="AB235">
        <v>135</v>
      </c>
      <c r="AC235">
        <v>120.6</v>
      </c>
      <c r="AD235">
        <v>134.5</v>
      </c>
      <c r="AE235">
        <v>143.30000000000001</v>
      </c>
    </row>
    <row r="236" spans="1:31" x14ac:dyDescent="0.3">
      <c r="A236" t="s">
        <v>27</v>
      </c>
      <c r="B236">
        <v>2019</v>
      </c>
      <c r="C236" t="s">
        <v>37</v>
      </c>
      <c r="D236">
        <f t="shared" si="4"/>
        <v>8</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s="2">
        <f>'Missing values'!V247</f>
        <v>151.6</v>
      </c>
      <c r="W236">
        <v>146.4</v>
      </c>
      <c r="X236">
        <v>150.19999999999999</v>
      </c>
      <c r="Y236">
        <v>152.69999999999999</v>
      </c>
      <c r="Z236">
        <v>138.80000000000001</v>
      </c>
      <c r="AA236">
        <v>159.69999999999999</v>
      </c>
      <c r="AB236">
        <v>148</v>
      </c>
      <c r="AC236">
        <v>131.4</v>
      </c>
      <c r="AD236">
        <v>144.9</v>
      </c>
      <c r="AE236">
        <v>145.69999999999999</v>
      </c>
    </row>
    <row r="237" spans="1:31" x14ac:dyDescent="0.3">
      <c r="A237" t="s">
        <v>30</v>
      </c>
      <c r="B237">
        <v>2019</v>
      </c>
      <c r="C237" t="s">
        <v>37</v>
      </c>
      <c r="D237">
        <f t="shared" si="4"/>
        <v>8</v>
      </c>
      <c r="E237">
        <v>140.1</v>
      </c>
      <c r="F237">
        <v>160.6</v>
      </c>
      <c r="G237">
        <v>138.5</v>
      </c>
      <c r="H237">
        <v>144.69999999999999</v>
      </c>
      <c r="I237">
        <v>122.9</v>
      </c>
      <c r="J237">
        <v>149.4</v>
      </c>
      <c r="K237">
        <v>167.4</v>
      </c>
      <c r="L237">
        <v>130.9</v>
      </c>
      <c r="M237">
        <v>112</v>
      </c>
      <c r="N237">
        <v>142.6</v>
      </c>
      <c r="O237">
        <v>134.9</v>
      </c>
      <c r="P237">
        <v>156.6</v>
      </c>
      <c r="Q237">
        <v>145.9</v>
      </c>
      <c r="R237">
        <v>165.8</v>
      </c>
      <c r="S237">
        <v>149.1</v>
      </c>
      <c r="T237">
        <v>140.6</v>
      </c>
      <c r="U237">
        <v>147.9</v>
      </c>
      <c r="V237">
        <v>151.6</v>
      </c>
      <c r="W237">
        <v>138.5</v>
      </c>
      <c r="X237">
        <v>144.5</v>
      </c>
      <c r="Y237">
        <v>148.5</v>
      </c>
      <c r="Z237">
        <v>138.4</v>
      </c>
      <c r="AA237">
        <v>154.9</v>
      </c>
      <c r="AB237">
        <v>140.9</v>
      </c>
      <c r="AC237">
        <v>125.8</v>
      </c>
      <c r="AD237">
        <v>140.19999999999999</v>
      </c>
      <c r="AE237">
        <v>145</v>
      </c>
    </row>
    <row r="238" spans="1:31" x14ac:dyDescent="0.3">
      <c r="A238" t="s">
        <v>29</v>
      </c>
      <c r="B238">
        <v>2019</v>
      </c>
      <c r="C238" t="s">
        <v>37</v>
      </c>
      <c r="D238">
        <f t="shared" ref="D238:D301" si="5">IF(C238="January",1,
IF(C238="february",2,
IF(C238="march",3,
IF(C238="april",4,
IF(C238="may",5,
IF(C238="june",6,
IF(C238="july",7,
IF(C238="august",8,
IF(C238="september",9,
IF(C238="october",10,
IF(C238="november",11,
IF(C238="december",12,
))))))))))))</f>
        <v>8</v>
      </c>
      <c r="E238">
        <v>142.1</v>
      </c>
      <c r="F238">
        <v>158.30000000000001</v>
      </c>
      <c r="G238">
        <v>140.80000000000001</v>
      </c>
      <c r="H238">
        <v>144.9</v>
      </c>
      <c r="I238">
        <v>119.9</v>
      </c>
      <c r="J238">
        <v>153.9</v>
      </c>
      <c r="K238">
        <v>189.1</v>
      </c>
      <c r="L238">
        <v>129.80000000000001</v>
      </c>
      <c r="M238">
        <v>112.7</v>
      </c>
      <c r="N238">
        <v>142.5</v>
      </c>
      <c r="O238">
        <v>129.80000000000001</v>
      </c>
      <c r="P238">
        <v>156.19999999999999</v>
      </c>
      <c r="Q238">
        <v>149.1</v>
      </c>
      <c r="R238">
        <v>167.9</v>
      </c>
      <c r="S238">
        <v>145</v>
      </c>
      <c r="T238">
        <v>132.19999999999999</v>
      </c>
      <c r="U238">
        <v>143</v>
      </c>
      <c r="V238">
        <v>151.6</v>
      </c>
      <c r="W238">
        <v>125.5</v>
      </c>
      <c r="X238">
        <v>138.1</v>
      </c>
      <c r="Y238">
        <v>141.5</v>
      </c>
      <c r="Z238">
        <v>137.80000000000001</v>
      </c>
      <c r="AA238">
        <v>151.5</v>
      </c>
      <c r="AB238">
        <v>135.4</v>
      </c>
      <c r="AC238">
        <v>120.8</v>
      </c>
      <c r="AD238">
        <v>135.30000000000001</v>
      </c>
      <c r="AE238">
        <v>144.19999999999999</v>
      </c>
    </row>
    <row r="239" spans="1:31" x14ac:dyDescent="0.3">
      <c r="A239" t="s">
        <v>27</v>
      </c>
      <c r="B239">
        <v>2019</v>
      </c>
      <c r="C239" t="s">
        <v>38</v>
      </c>
      <c r="D239">
        <f t="shared" si="5"/>
        <v>9</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s="2">
        <f>'Missing values'!V277</f>
        <v>152.19999999999999</v>
      </c>
      <c r="W239">
        <v>146.9</v>
      </c>
      <c r="X239">
        <v>150.30000000000001</v>
      </c>
      <c r="Y239">
        <v>153.4</v>
      </c>
      <c r="Z239">
        <v>140.19999999999999</v>
      </c>
      <c r="AA239">
        <v>160.19999999999999</v>
      </c>
      <c r="AB239">
        <v>148.30000000000001</v>
      </c>
      <c r="AC239">
        <v>131.6</v>
      </c>
      <c r="AD239">
        <v>145.4</v>
      </c>
      <c r="AE239">
        <v>146.69999999999999</v>
      </c>
    </row>
    <row r="240" spans="1:31" x14ac:dyDescent="0.3">
      <c r="A240" t="s">
        <v>30</v>
      </c>
      <c r="B240">
        <v>2019</v>
      </c>
      <c r="C240" t="s">
        <v>38</v>
      </c>
      <c r="D240">
        <f t="shared" si="5"/>
        <v>9</v>
      </c>
      <c r="E240">
        <v>140.9</v>
      </c>
      <c r="F240">
        <v>160.80000000000001</v>
      </c>
      <c r="G240">
        <v>139.6</v>
      </c>
      <c r="H240">
        <v>145.4</v>
      </c>
      <c r="I240">
        <v>123.5</v>
      </c>
      <c r="J240">
        <v>146.6</v>
      </c>
      <c r="K240">
        <v>173.2</v>
      </c>
      <c r="L240">
        <v>131.6</v>
      </c>
      <c r="M240">
        <v>113.2</v>
      </c>
      <c r="N240">
        <v>144.1</v>
      </c>
      <c r="O240">
        <v>135</v>
      </c>
      <c r="P240">
        <v>156.80000000000001</v>
      </c>
      <c r="Q240">
        <v>147</v>
      </c>
      <c r="R240">
        <v>166.5</v>
      </c>
      <c r="S240">
        <v>149.19999999999999</v>
      </c>
      <c r="T240">
        <v>140.6</v>
      </c>
      <c r="U240">
        <v>147.9</v>
      </c>
      <c r="V240">
        <v>152.19999999999999</v>
      </c>
      <c r="W240">
        <v>139.19999999999999</v>
      </c>
      <c r="X240">
        <v>144.6</v>
      </c>
      <c r="Y240">
        <v>149</v>
      </c>
      <c r="Z240">
        <v>139.69999999999999</v>
      </c>
      <c r="AA240">
        <v>155.19999999999999</v>
      </c>
      <c r="AB240">
        <v>141.30000000000001</v>
      </c>
      <c r="AC240">
        <v>126.1</v>
      </c>
      <c r="AD240">
        <v>140.69999999999999</v>
      </c>
      <c r="AE240">
        <v>145.80000000000001</v>
      </c>
    </row>
    <row r="241" spans="1:31" x14ac:dyDescent="0.3">
      <c r="A241" t="s">
        <v>29</v>
      </c>
      <c r="B241">
        <v>2019</v>
      </c>
      <c r="C241" t="s">
        <v>38</v>
      </c>
      <c r="D241">
        <f t="shared" si="5"/>
        <v>9</v>
      </c>
      <c r="E241">
        <v>142.69999999999999</v>
      </c>
      <c r="F241">
        <v>158.69999999999999</v>
      </c>
      <c r="G241">
        <v>141.6</v>
      </c>
      <c r="H241">
        <v>144.9</v>
      </c>
      <c r="I241">
        <v>120.8</v>
      </c>
      <c r="J241">
        <v>149.80000000000001</v>
      </c>
      <c r="K241">
        <v>192.4</v>
      </c>
      <c r="L241">
        <v>130.30000000000001</v>
      </c>
      <c r="M241">
        <v>114</v>
      </c>
      <c r="N241">
        <v>143.80000000000001</v>
      </c>
      <c r="O241">
        <v>130</v>
      </c>
      <c r="P241">
        <v>156.4</v>
      </c>
      <c r="Q241">
        <v>149.5</v>
      </c>
      <c r="R241">
        <v>168.6</v>
      </c>
      <c r="S241">
        <v>145.30000000000001</v>
      </c>
      <c r="T241">
        <v>132.19999999999999</v>
      </c>
      <c r="U241">
        <v>143.30000000000001</v>
      </c>
      <c r="V241">
        <v>152.19999999999999</v>
      </c>
      <c r="W241">
        <v>126.6</v>
      </c>
      <c r="X241">
        <v>138.30000000000001</v>
      </c>
      <c r="Y241">
        <v>141.9</v>
      </c>
      <c r="Z241">
        <v>139</v>
      </c>
      <c r="AA241">
        <v>151.6</v>
      </c>
      <c r="AB241">
        <v>135.9</v>
      </c>
      <c r="AC241">
        <v>121.2</v>
      </c>
      <c r="AD241">
        <v>135.69999999999999</v>
      </c>
      <c r="AE241">
        <v>144.69999999999999</v>
      </c>
    </row>
    <row r="242" spans="1:31" x14ac:dyDescent="0.3">
      <c r="A242" t="s">
        <v>27</v>
      </c>
      <c r="B242">
        <v>2019</v>
      </c>
      <c r="C242" t="s">
        <v>39</v>
      </c>
      <c r="D242">
        <f t="shared" si="5"/>
        <v>10</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s="2">
        <f>'Missing values'!V307</f>
        <v>153</v>
      </c>
      <c r="W242">
        <v>147.69999999999999</v>
      </c>
      <c r="X242">
        <v>150.6</v>
      </c>
      <c r="Y242">
        <v>153.69999999999999</v>
      </c>
      <c r="Z242">
        <v>140.30000000000001</v>
      </c>
      <c r="AA242">
        <v>160.69999999999999</v>
      </c>
      <c r="AB242">
        <v>148.69999999999999</v>
      </c>
      <c r="AC242">
        <v>131.69999999999999</v>
      </c>
      <c r="AD242">
        <v>145.69999999999999</v>
      </c>
      <c r="AE242">
        <v>148.30000000000001</v>
      </c>
    </row>
    <row r="243" spans="1:31" x14ac:dyDescent="0.3">
      <c r="A243" t="s">
        <v>30</v>
      </c>
      <c r="B243">
        <v>2019</v>
      </c>
      <c r="C243" t="s">
        <v>39</v>
      </c>
      <c r="D243">
        <f t="shared" si="5"/>
        <v>10</v>
      </c>
      <c r="E243">
        <v>141.80000000000001</v>
      </c>
      <c r="F243">
        <v>161</v>
      </c>
      <c r="G243">
        <v>142.6</v>
      </c>
      <c r="H243">
        <v>146.19999999999999</v>
      </c>
      <c r="I243">
        <v>123.9</v>
      </c>
      <c r="J243">
        <v>148</v>
      </c>
      <c r="K243">
        <v>188.4</v>
      </c>
      <c r="L243">
        <v>132.5</v>
      </c>
      <c r="M243">
        <v>114</v>
      </c>
      <c r="N243">
        <v>145.4</v>
      </c>
      <c r="O243">
        <v>135.1</v>
      </c>
      <c r="P243">
        <v>157.1</v>
      </c>
      <c r="Q243">
        <v>149.6</v>
      </c>
      <c r="R243">
        <v>167.1</v>
      </c>
      <c r="S243">
        <v>149.4</v>
      </c>
      <c r="T243">
        <v>140.80000000000001</v>
      </c>
      <c r="U243">
        <v>148.19999999999999</v>
      </c>
      <c r="V243">
        <v>153</v>
      </c>
      <c r="W243">
        <v>140.6</v>
      </c>
      <c r="X243">
        <v>145</v>
      </c>
      <c r="Y243">
        <v>149.4</v>
      </c>
      <c r="Z243">
        <v>140</v>
      </c>
      <c r="AA243">
        <v>155.4</v>
      </c>
      <c r="AB243">
        <v>141.69999999999999</v>
      </c>
      <c r="AC243">
        <v>126.3</v>
      </c>
      <c r="AD243">
        <v>141</v>
      </c>
      <c r="AE243">
        <v>147.19999999999999</v>
      </c>
    </row>
    <row r="244" spans="1:31" x14ac:dyDescent="0.3">
      <c r="A244" t="s">
        <v>29</v>
      </c>
      <c r="B244">
        <v>2019</v>
      </c>
      <c r="C244" t="s">
        <v>39</v>
      </c>
      <c r="D244">
        <f t="shared" si="5"/>
        <v>10</v>
      </c>
      <c r="E244">
        <v>143.5</v>
      </c>
      <c r="F244">
        <v>159.80000000000001</v>
      </c>
      <c r="G244">
        <v>144.69999999999999</v>
      </c>
      <c r="H244">
        <v>145.6</v>
      </c>
      <c r="I244">
        <v>121.1</v>
      </c>
      <c r="J244">
        <v>150.6</v>
      </c>
      <c r="K244">
        <v>207.2</v>
      </c>
      <c r="L244">
        <v>131.19999999999999</v>
      </c>
      <c r="M244">
        <v>114.8</v>
      </c>
      <c r="N244">
        <v>145.19999999999999</v>
      </c>
      <c r="O244">
        <v>130.19999999999999</v>
      </c>
      <c r="P244">
        <v>156.80000000000001</v>
      </c>
      <c r="Q244">
        <v>151.9</v>
      </c>
      <c r="R244">
        <v>169.3</v>
      </c>
      <c r="S244">
        <v>145.9</v>
      </c>
      <c r="T244">
        <v>132.4</v>
      </c>
      <c r="U244">
        <v>143.9</v>
      </c>
      <c r="V244">
        <v>153</v>
      </c>
      <c r="W244">
        <v>128.9</v>
      </c>
      <c r="X244">
        <v>138.69999999999999</v>
      </c>
      <c r="Y244">
        <v>142.4</v>
      </c>
      <c r="Z244">
        <v>139.5</v>
      </c>
      <c r="AA244">
        <v>151.69999999999999</v>
      </c>
      <c r="AB244">
        <v>136.19999999999999</v>
      </c>
      <c r="AC244">
        <v>121.5</v>
      </c>
      <c r="AD244">
        <v>136</v>
      </c>
      <c r="AE244">
        <v>146</v>
      </c>
    </row>
    <row r="245" spans="1:31" x14ac:dyDescent="0.3">
      <c r="A245" t="s">
        <v>27</v>
      </c>
      <c r="B245">
        <v>2019</v>
      </c>
      <c r="C245" t="s">
        <v>41</v>
      </c>
      <c r="D245">
        <f t="shared" si="5"/>
        <v>11</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s="2">
        <f>'Missing values'!V337</f>
        <v>153.5</v>
      </c>
      <c r="W245">
        <v>148.4</v>
      </c>
      <c r="X245">
        <v>150.9</v>
      </c>
      <c r="Y245">
        <v>154.30000000000001</v>
      </c>
      <c r="Z245">
        <v>140.6</v>
      </c>
      <c r="AA245">
        <v>160.80000000000001</v>
      </c>
      <c r="AB245">
        <v>149.1</v>
      </c>
      <c r="AC245">
        <v>132.1</v>
      </c>
      <c r="AD245">
        <v>146.1</v>
      </c>
      <c r="AE245">
        <v>149.9</v>
      </c>
    </row>
    <row r="246" spans="1:31" x14ac:dyDescent="0.3">
      <c r="A246" t="s">
        <v>30</v>
      </c>
      <c r="B246">
        <v>2019</v>
      </c>
      <c r="C246" t="s">
        <v>41</v>
      </c>
      <c r="D246">
        <f t="shared" si="5"/>
        <v>11</v>
      </c>
      <c r="E246">
        <v>142.5</v>
      </c>
      <c r="F246">
        <v>163.19999999999999</v>
      </c>
      <c r="G246">
        <v>145.6</v>
      </c>
      <c r="H246">
        <v>146.69999999999999</v>
      </c>
      <c r="I246">
        <v>124.3</v>
      </c>
      <c r="J246">
        <v>147.4</v>
      </c>
      <c r="K246">
        <v>199.6</v>
      </c>
      <c r="L246">
        <v>135.69999999999999</v>
      </c>
      <c r="M246">
        <v>114.2</v>
      </c>
      <c r="N246">
        <v>147</v>
      </c>
      <c r="O246">
        <v>135.30000000000001</v>
      </c>
      <c r="P246">
        <v>157.5</v>
      </c>
      <c r="Q246">
        <v>151.9</v>
      </c>
      <c r="R246">
        <v>167.9</v>
      </c>
      <c r="S246">
        <v>149.9</v>
      </c>
      <c r="T246">
        <v>141</v>
      </c>
      <c r="U246">
        <v>148.6</v>
      </c>
      <c r="V246">
        <v>153.5</v>
      </c>
      <c r="W246">
        <v>142.30000000000001</v>
      </c>
      <c r="X246">
        <v>145.30000000000001</v>
      </c>
      <c r="Y246">
        <v>149.9</v>
      </c>
      <c r="Z246">
        <v>140.30000000000001</v>
      </c>
      <c r="AA246">
        <v>155.5</v>
      </c>
      <c r="AB246">
        <v>142.1</v>
      </c>
      <c r="AC246">
        <v>126.6</v>
      </c>
      <c r="AD246">
        <v>141.30000000000001</v>
      </c>
      <c r="AE246">
        <v>148.6</v>
      </c>
    </row>
    <row r="247" spans="1:31" x14ac:dyDescent="0.3">
      <c r="A247" t="s">
        <v>29</v>
      </c>
      <c r="B247">
        <v>2019</v>
      </c>
      <c r="C247" t="s">
        <v>41</v>
      </c>
      <c r="D247">
        <f t="shared" si="5"/>
        <v>11</v>
      </c>
      <c r="E247">
        <v>144.1</v>
      </c>
      <c r="F247">
        <v>162.4</v>
      </c>
      <c r="G247">
        <v>148.4</v>
      </c>
      <c r="H247">
        <v>145.9</v>
      </c>
      <c r="I247">
        <v>121.5</v>
      </c>
      <c r="J247">
        <v>148.80000000000001</v>
      </c>
      <c r="K247">
        <v>215.7</v>
      </c>
      <c r="L247">
        <v>134.6</v>
      </c>
      <c r="M247">
        <v>115</v>
      </c>
      <c r="N247">
        <v>146.30000000000001</v>
      </c>
      <c r="O247">
        <v>130.5</v>
      </c>
      <c r="P247">
        <v>157.19999999999999</v>
      </c>
      <c r="Q247">
        <v>153.6</v>
      </c>
      <c r="R247">
        <v>169.9</v>
      </c>
      <c r="S247">
        <v>146.30000000000001</v>
      </c>
      <c r="T247">
        <v>132.6</v>
      </c>
      <c r="U247">
        <v>144.19999999999999</v>
      </c>
      <c r="V247">
        <v>153.5</v>
      </c>
      <c r="W247">
        <v>132.19999999999999</v>
      </c>
      <c r="X247">
        <v>139.1</v>
      </c>
      <c r="Y247">
        <v>142.80000000000001</v>
      </c>
      <c r="Z247">
        <v>139.80000000000001</v>
      </c>
      <c r="AA247">
        <v>151.80000000000001</v>
      </c>
      <c r="AB247">
        <v>136.69999999999999</v>
      </c>
      <c r="AC247">
        <v>121.7</v>
      </c>
      <c r="AD247">
        <v>136.30000000000001</v>
      </c>
      <c r="AE247">
        <v>147</v>
      </c>
    </row>
    <row r="248" spans="1:31" x14ac:dyDescent="0.3">
      <c r="A248" t="s">
        <v>27</v>
      </c>
      <c r="B248">
        <v>2019</v>
      </c>
      <c r="C248" t="s">
        <v>42</v>
      </c>
      <c r="D248">
        <f t="shared" si="5"/>
        <v>12</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s="2">
        <f>'Missing values'!V367</f>
        <v>152.80000000000001</v>
      </c>
      <c r="W248">
        <v>149.9</v>
      </c>
      <c r="X248">
        <v>151.19999999999999</v>
      </c>
      <c r="Y248">
        <v>154.80000000000001</v>
      </c>
      <c r="Z248">
        <v>140.6</v>
      </c>
      <c r="AA248">
        <v>161.1</v>
      </c>
      <c r="AB248">
        <v>149.5</v>
      </c>
      <c r="AC248">
        <v>135</v>
      </c>
      <c r="AD248">
        <v>147.1</v>
      </c>
      <c r="AE248">
        <v>152.30000000000001</v>
      </c>
    </row>
    <row r="249" spans="1:31" x14ac:dyDescent="0.3">
      <c r="A249" t="s">
        <v>30</v>
      </c>
      <c r="B249">
        <v>2019</v>
      </c>
      <c r="C249" t="s">
        <v>42</v>
      </c>
      <c r="D249">
        <f t="shared" si="5"/>
        <v>12</v>
      </c>
      <c r="E249">
        <v>143.5</v>
      </c>
      <c r="F249">
        <v>165</v>
      </c>
      <c r="G249">
        <v>151.1</v>
      </c>
      <c r="H249">
        <v>148.30000000000001</v>
      </c>
      <c r="I249">
        <v>125.7</v>
      </c>
      <c r="J249">
        <v>145.69999999999999</v>
      </c>
      <c r="K249">
        <v>217</v>
      </c>
      <c r="L249">
        <v>138.30000000000001</v>
      </c>
      <c r="M249">
        <v>114</v>
      </c>
      <c r="N249">
        <v>148.69999999999999</v>
      </c>
      <c r="O249">
        <v>135.80000000000001</v>
      </c>
      <c r="P249">
        <v>158</v>
      </c>
      <c r="Q249">
        <v>155</v>
      </c>
      <c r="R249">
        <v>168.5</v>
      </c>
      <c r="S249">
        <v>150.30000000000001</v>
      </c>
      <c r="T249">
        <v>141.30000000000001</v>
      </c>
      <c r="U249">
        <v>149</v>
      </c>
      <c r="V249">
        <v>152.80000000000001</v>
      </c>
      <c r="W249">
        <v>143.69999999999999</v>
      </c>
      <c r="X249">
        <v>145.80000000000001</v>
      </c>
      <c r="Y249">
        <v>150.4</v>
      </c>
      <c r="Z249">
        <v>140.4</v>
      </c>
      <c r="AA249">
        <v>155.69999999999999</v>
      </c>
      <c r="AB249">
        <v>142.30000000000001</v>
      </c>
      <c r="AC249">
        <v>129.80000000000001</v>
      </c>
      <c r="AD249">
        <v>142.5</v>
      </c>
      <c r="AE249">
        <v>150.4</v>
      </c>
    </row>
    <row r="250" spans="1:31" x14ac:dyDescent="0.3">
      <c r="A250" t="s">
        <v>29</v>
      </c>
      <c r="B250">
        <v>2019</v>
      </c>
      <c r="C250" t="s">
        <v>42</v>
      </c>
      <c r="D250">
        <f t="shared" si="5"/>
        <v>12</v>
      </c>
      <c r="E250">
        <v>144.9</v>
      </c>
      <c r="F250">
        <v>164.5</v>
      </c>
      <c r="G250">
        <v>153.69999999999999</v>
      </c>
      <c r="H250">
        <v>147.5</v>
      </c>
      <c r="I250">
        <v>122.7</v>
      </c>
      <c r="J250">
        <v>147.19999999999999</v>
      </c>
      <c r="K250">
        <v>231.5</v>
      </c>
      <c r="L250">
        <v>137.19999999999999</v>
      </c>
      <c r="M250">
        <v>114.7</v>
      </c>
      <c r="N250">
        <v>148</v>
      </c>
      <c r="O250">
        <v>130.80000000000001</v>
      </c>
      <c r="P250">
        <v>157.69999999999999</v>
      </c>
      <c r="Q250">
        <v>156.30000000000001</v>
      </c>
      <c r="R250">
        <v>170.4</v>
      </c>
      <c r="S250">
        <v>146.80000000000001</v>
      </c>
      <c r="T250">
        <v>132.80000000000001</v>
      </c>
      <c r="U250">
        <v>144.6</v>
      </c>
      <c r="V250">
        <v>152.80000000000001</v>
      </c>
      <c r="W250">
        <v>133.6</v>
      </c>
      <c r="X250">
        <v>139.80000000000001</v>
      </c>
      <c r="Y250">
        <v>143.19999999999999</v>
      </c>
      <c r="Z250">
        <v>140.19999999999999</v>
      </c>
      <c r="AA250">
        <v>151.9</v>
      </c>
      <c r="AB250">
        <v>136.80000000000001</v>
      </c>
      <c r="AC250">
        <v>125.2</v>
      </c>
      <c r="AD250">
        <v>137.69999999999999</v>
      </c>
      <c r="AE250">
        <v>148.30000000000001</v>
      </c>
    </row>
    <row r="251" spans="1:31" x14ac:dyDescent="0.3">
      <c r="A251" t="s">
        <v>27</v>
      </c>
      <c r="B251">
        <v>2020</v>
      </c>
      <c r="C251" t="s">
        <v>28</v>
      </c>
      <c r="D251">
        <f t="shared" si="5"/>
        <v>1</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s="2">
        <f>'Missing values'!V28</f>
        <v>153.9</v>
      </c>
      <c r="W251">
        <v>150.4</v>
      </c>
      <c r="X251">
        <v>151.69999999999999</v>
      </c>
      <c r="Y251">
        <v>155.69999999999999</v>
      </c>
      <c r="Z251">
        <v>142.5</v>
      </c>
      <c r="AA251">
        <v>161.69999999999999</v>
      </c>
      <c r="AB251">
        <v>150.1</v>
      </c>
      <c r="AC251">
        <v>136.30000000000001</v>
      </c>
      <c r="AD251">
        <v>148.1</v>
      </c>
      <c r="AE251">
        <v>151.9</v>
      </c>
    </row>
    <row r="252" spans="1:31" x14ac:dyDescent="0.3">
      <c r="A252" t="s">
        <v>30</v>
      </c>
      <c r="B252">
        <v>2020</v>
      </c>
      <c r="C252" t="s">
        <v>28</v>
      </c>
      <c r="D252">
        <f t="shared" si="5"/>
        <v>1</v>
      </c>
      <c r="E252">
        <v>144.30000000000001</v>
      </c>
      <c r="F252">
        <v>167.4</v>
      </c>
      <c r="G252">
        <v>154.9</v>
      </c>
      <c r="H252">
        <v>150.1</v>
      </c>
      <c r="I252">
        <v>129.9</v>
      </c>
      <c r="J252">
        <v>143.19999999999999</v>
      </c>
      <c r="K252">
        <v>197</v>
      </c>
      <c r="L252">
        <v>140.4</v>
      </c>
      <c r="M252">
        <v>114.1</v>
      </c>
      <c r="N252">
        <v>150.9</v>
      </c>
      <c r="O252">
        <v>136.1</v>
      </c>
      <c r="P252">
        <v>158.6</v>
      </c>
      <c r="Q252">
        <v>153.5</v>
      </c>
      <c r="R252">
        <v>169.2</v>
      </c>
      <c r="S252">
        <v>150.5</v>
      </c>
      <c r="T252">
        <v>141.5</v>
      </c>
      <c r="U252">
        <v>149.19999999999999</v>
      </c>
      <c r="V252">
        <v>153.9</v>
      </c>
      <c r="W252">
        <v>144.6</v>
      </c>
      <c r="X252">
        <v>146.19999999999999</v>
      </c>
      <c r="Y252">
        <v>151.19999999999999</v>
      </c>
      <c r="Z252">
        <v>142.30000000000001</v>
      </c>
      <c r="AA252">
        <v>156.1</v>
      </c>
      <c r="AB252">
        <v>142.80000000000001</v>
      </c>
      <c r="AC252">
        <v>130.9</v>
      </c>
      <c r="AD252">
        <v>143.4</v>
      </c>
      <c r="AE252">
        <v>150.19999999999999</v>
      </c>
    </row>
    <row r="253" spans="1:31" x14ac:dyDescent="0.3">
      <c r="A253" t="s">
        <v>29</v>
      </c>
      <c r="B253">
        <v>2020</v>
      </c>
      <c r="C253" t="s">
        <v>28</v>
      </c>
      <c r="D253">
        <f t="shared" si="5"/>
        <v>1</v>
      </c>
      <c r="E253">
        <v>145.6</v>
      </c>
      <c r="F253">
        <v>167.6</v>
      </c>
      <c r="G253">
        <v>157</v>
      </c>
      <c r="H253">
        <v>149.30000000000001</v>
      </c>
      <c r="I253">
        <v>126.3</v>
      </c>
      <c r="J253">
        <v>144.4</v>
      </c>
      <c r="K253">
        <v>207.8</v>
      </c>
      <c r="L253">
        <v>139.1</v>
      </c>
      <c r="M253">
        <v>114.8</v>
      </c>
      <c r="N253">
        <v>149.5</v>
      </c>
      <c r="O253">
        <v>131.1</v>
      </c>
      <c r="P253">
        <v>158.5</v>
      </c>
      <c r="Q253">
        <v>154.4</v>
      </c>
      <c r="R253">
        <v>170.8</v>
      </c>
      <c r="S253">
        <v>147</v>
      </c>
      <c r="T253">
        <v>133.19999999999999</v>
      </c>
      <c r="U253">
        <v>144.9</v>
      </c>
      <c r="V253">
        <v>153.9</v>
      </c>
      <c r="W253">
        <v>135.1</v>
      </c>
      <c r="X253">
        <v>140.1</v>
      </c>
      <c r="Y253">
        <v>143.80000000000001</v>
      </c>
      <c r="Z253">
        <v>142.1</v>
      </c>
      <c r="AA253">
        <v>152.1</v>
      </c>
      <c r="AB253">
        <v>137.19999999999999</v>
      </c>
      <c r="AC253">
        <v>126.1</v>
      </c>
      <c r="AD253">
        <v>138.4</v>
      </c>
      <c r="AE253">
        <v>148.19999999999999</v>
      </c>
    </row>
    <row r="254" spans="1:31" x14ac:dyDescent="0.3">
      <c r="A254" t="s">
        <v>27</v>
      </c>
      <c r="B254">
        <v>2020</v>
      </c>
      <c r="C254" t="s">
        <v>31</v>
      </c>
      <c r="D254">
        <f t="shared" si="5"/>
        <v>2</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s="2">
        <f>'Missing values'!V61</f>
        <v>154.80000000000001</v>
      </c>
      <c r="W254">
        <v>152.30000000000001</v>
      </c>
      <c r="X254">
        <v>151.80000000000001</v>
      </c>
      <c r="Y254">
        <v>156.19999999999999</v>
      </c>
      <c r="Z254">
        <v>143.4</v>
      </c>
      <c r="AA254">
        <v>161.9</v>
      </c>
      <c r="AB254">
        <v>150.4</v>
      </c>
      <c r="AC254">
        <v>136</v>
      </c>
      <c r="AD254">
        <v>148.4</v>
      </c>
      <c r="AE254">
        <v>150.4</v>
      </c>
    </row>
    <row r="255" spans="1:31" x14ac:dyDescent="0.3">
      <c r="A255" t="s">
        <v>30</v>
      </c>
      <c r="B255">
        <v>2020</v>
      </c>
      <c r="C255" t="s">
        <v>31</v>
      </c>
      <c r="D255">
        <f t="shared" si="5"/>
        <v>2</v>
      </c>
      <c r="E255">
        <v>144.80000000000001</v>
      </c>
      <c r="F255">
        <v>167.5</v>
      </c>
      <c r="G255">
        <v>151.80000000000001</v>
      </c>
      <c r="H255">
        <v>150.80000000000001</v>
      </c>
      <c r="I255">
        <v>131.4</v>
      </c>
      <c r="J255">
        <v>141.80000000000001</v>
      </c>
      <c r="K255">
        <v>170.7</v>
      </c>
      <c r="L255">
        <v>141.1</v>
      </c>
      <c r="M255">
        <v>113.6</v>
      </c>
      <c r="N255">
        <v>152</v>
      </c>
      <c r="O255">
        <v>136.5</v>
      </c>
      <c r="P255">
        <v>159.1</v>
      </c>
      <c r="Q255">
        <v>150.5</v>
      </c>
      <c r="R255">
        <v>170.1</v>
      </c>
      <c r="S255">
        <v>150.80000000000001</v>
      </c>
      <c r="T255">
        <v>141.69999999999999</v>
      </c>
      <c r="U255">
        <v>149.5</v>
      </c>
      <c r="V255">
        <v>154.80000000000001</v>
      </c>
      <c r="W255">
        <v>147.19999999999999</v>
      </c>
      <c r="X255">
        <v>146.4</v>
      </c>
      <c r="Y255">
        <v>151.69999999999999</v>
      </c>
      <c r="Z255">
        <v>143.4</v>
      </c>
      <c r="AA255">
        <v>156.19999999999999</v>
      </c>
      <c r="AB255">
        <v>143.19999999999999</v>
      </c>
      <c r="AC255">
        <v>130.30000000000001</v>
      </c>
      <c r="AD255">
        <v>143.6</v>
      </c>
      <c r="AE255">
        <v>149.1</v>
      </c>
    </row>
    <row r="256" spans="1:31" x14ac:dyDescent="0.3">
      <c r="A256" t="s">
        <v>29</v>
      </c>
      <c r="B256">
        <v>2020</v>
      </c>
      <c r="C256" t="s">
        <v>31</v>
      </c>
      <c r="D256">
        <f t="shared" si="5"/>
        <v>2</v>
      </c>
      <c r="E256">
        <v>146.19999999999999</v>
      </c>
      <c r="F256">
        <v>167.6</v>
      </c>
      <c r="G256">
        <v>153.1</v>
      </c>
      <c r="H256">
        <v>150.69999999999999</v>
      </c>
      <c r="I256">
        <v>127.4</v>
      </c>
      <c r="J256">
        <v>143.1</v>
      </c>
      <c r="K256">
        <v>181.7</v>
      </c>
      <c r="L256">
        <v>139.6</v>
      </c>
      <c r="M256">
        <v>114.6</v>
      </c>
      <c r="N256">
        <v>150.4</v>
      </c>
      <c r="O256">
        <v>131.5</v>
      </c>
      <c r="P256">
        <v>159</v>
      </c>
      <c r="Q256">
        <v>151.69999999999999</v>
      </c>
      <c r="R256">
        <v>172</v>
      </c>
      <c r="S256">
        <v>147.30000000000001</v>
      </c>
      <c r="T256">
        <v>133.5</v>
      </c>
      <c r="U256">
        <v>145.19999999999999</v>
      </c>
      <c r="V256">
        <v>154.80000000000001</v>
      </c>
      <c r="W256">
        <v>138.9</v>
      </c>
      <c r="X256">
        <v>140.4</v>
      </c>
      <c r="Y256">
        <v>144.4</v>
      </c>
      <c r="Z256">
        <v>143.5</v>
      </c>
      <c r="AA256">
        <v>152.19999999999999</v>
      </c>
      <c r="AB256">
        <v>137.69999999999999</v>
      </c>
      <c r="AC256">
        <v>125.2</v>
      </c>
      <c r="AD256">
        <v>138.4</v>
      </c>
      <c r="AE256">
        <v>147.69999999999999</v>
      </c>
    </row>
    <row r="257" spans="1:35" x14ac:dyDescent="0.3">
      <c r="A257" t="s">
        <v>27</v>
      </c>
      <c r="B257">
        <v>2020</v>
      </c>
      <c r="C257" t="s">
        <v>32</v>
      </c>
      <c r="D257">
        <f t="shared" si="5"/>
        <v>3</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s="2">
        <f>'Missing values'!V94</f>
        <v>154.5</v>
      </c>
      <c r="W257">
        <v>153.4</v>
      </c>
      <c r="X257">
        <v>151.5</v>
      </c>
      <c r="Y257">
        <v>156.69999999999999</v>
      </c>
      <c r="Z257">
        <v>145.1</v>
      </c>
      <c r="AA257">
        <v>161.19999999999999</v>
      </c>
      <c r="AB257">
        <v>151.19999999999999</v>
      </c>
      <c r="AC257">
        <v>135.80000000000001</v>
      </c>
      <c r="AD257">
        <v>148.6</v>
      </c>
      <c r="AE257">
        <v>149.80000000000001</v>
      </c>
    </row>
    <row r="258" spans="1:35" x14ac:dyDescent="0.3">
      <c r="A258" t="s">
        <v>30</v>
      </c>
      <c r="B258">
        <v>2020</v>
      </c>
      <c r="C258" t="s">
        <v>32</v>
      </c>
      <c r="D258">
        <f t="shared" si="5"/>
        <v>3</v>
      </c>
      <c r="E258">
        <v>145.1</v>
      </c>
      <c r="F258">
        <v>167</v>
      </c>
      <c r="G258">
        <v>148.1</v>
      </c>
      <c r="H258">
        <v>151.5</v>
      </c>
      <c r="I258">
        <v>131.19999999999999</v>
      </c>
      <c r="J258">
        <v>142.5</v>
      </c>
      <c r="K258">
        <v>157.30000000000001</v>
      </c>
      <c r="L258">
        <v>141.1</v>
      </c>
      <c r="M258">
        <v>113.2</v>
      </c>
      <c r="N258">
        <v>153.19999999999999</v>
      </c>
      <c r="O258">
        <v>136.69999999999999</v>
      </c>
      <c r="P258">
        <v>159.6</v>
      </c>
      <c r="Q258">
        <v>148.9</v>
      </c>
      <c r="R258">
        <v>171.2</v>
      </c>
      <c r="S258">
        <v>151.19999999999999</v>
      </c>
      <c r="T258">
        <v>141.9</v>
      </c>
      <c r="U258">
        <v>149.80000000000001</v>
      </c>
      <c r="V258">
        <v>154.5</v>
      </c>
      <c r="W258">
        <v>148.9</v>
      </c>
      <c r="X258">
        <v>146.4</v>
      </c>
      <c r="Y258">
        <v>152.30000000000001</v>
      </c>
      <c r="Z258">
        <v>145.19999999999999</v>
      </c>
      <c r="AA258">
        <v>156.1</v>
      </c>
      <c r="AB258">
        <v>143.69999999999999</v>
      </c>
      <c r="AC258">
        <v>129.9</v>
      </c>
      <c r="AD258">
        <v>143.80000000000001</v>
      </c>
      <c r="AE258">
        <v>148.6</v>
      </c>
    </row>
    <row r="259" spans="1:35" x14ac:dyDescent="0.3">
      <c r="A259" t="s">
        <v>29</v>
      </c>
      <c r="B259">
        <v>2020</v>
      </c>
      <c r="C259" t="s">
        <v>32</v>
      </c>
      <c r="D259">
        <f t="shared" si="5"/>
        <v>3</v>
      </c>
      <c r="E259">
        <v>146.5</v>
      </c>
      <c r="F259">
        <v>167.5</v>
      </c>
      <c r="G259">
        <v>148.9</v>
      </c>
      <c r="H259">
        <v>151.1</v>
      </c>
      <c r="I259">
        <v>127.5</v>
      </c>
      <c r="J259">
        <v>143.30000000000001</v>
      </c>
      <c r="K259">
        <v>167</v>
      </c>
      <c r="L259">
        <v>139.69999999999999</v>
      </c>
      <c r="M259">
        <v>114.4</v>
      </c>
      <c r="N259">
        <v>151.5</v>
      </c>
      <c r="O259">
        <v>131.9</v>
      </c>
      <c r="P259">
        <v>159.1</v>
      </c>
      <c r="Q259">
        <v>150.1</v>
      </c>
      <c r="R259">
        <v>173.3</v>
      </c>
      <c r="S259">
        <v>147.69999999999999</v>
      </c>
      <c r="T259">
        <v>133.80000000000001</v>
      </c>
      <c r="U259">
        <v>145.6</v>
      </c>
      <c r="V259">
        <v>154.5</v>
      </c>
      <c r="W259">
        <v>141.4</v>
      </c>
      <c r="X259">
        <v>140.80000000000001</v>
      </c>
      <c r="Y259">
        <v>145</v>
      </c>
      <c r="Z259">
        <v>145.30000000000001</v>
      </c>
      <c r="AA259">
        <v>152.5</v>
      </c>
      <c r="AB259">
        <v>137.9</v>
      </c>
      <c r="AC259">
        <v>124.6</v>
      </c>
      <c r="AD259">
        <v>138.69999999999999</v>
      </c>
      <c r="AE259">
        <v>147.30000000000001</v>
      </c>
    </row>
    <row r="260" spans="1:35" x14ac:dyDescent="0.3">
      <c r="A260" t="s">
        <v>27</v>
      </c>
      <c r="B260">
        <v>2020</v>
      </c>
      <c r="C260" t="s">
        <v>33</v>
      </c>
      <c r="D260">
        <f t="shared" si="5"/>
        <v>4</v>
      </c>
      <c r="E260">
        <v>147.19999999999999</v>
      </c>
      <c r="G260">
        <v>146.9</v>
      </c>
      <c r="H260">
        <v>155.6</v>
      </c>
      <c r="I260">
        <v>137.1</v>
      </c>
      <c r="J260">
        <v>147.30000000000001</v>
      </c>
      <c r="K260">
        <v>162.69999999999999</v>
      </c>
      <c r="L260">
        <v>150.19999999999999</v>
      </c>
      <c r="M260">
        <v>119.8</v>
      </c>
      <c r="N260">
        <v>158.69999999999999</v>
      </c>
      <c r="O260">
        <v>139.19999999999999</v>
      </c>
      <c r="Q260">
        <v>150.1</v>
      </c>
      <c r="V260" s="2">
        <f>'Missing values'!V124</f>
        <v>155.6</v>
      </c>
      <c r="W260">
        <v>148.4</v>
      </c>
      <c r="Y260">
        <v>154.30000000000001</v>
      </c>
    </row>
    <row r="261" spans="1:35" ht="13.2" customHeight="1" x14ac:dyDescent="0.3">
      <c r="A261" t="s">
        <v>30</v>
      </c>
      <c r="B261">
        <v>2020</v>
      </c>
      <c r="C261" t="s">
        <v>33</v>
      </c>
      <c r="D261">
        <f t="shared" si="5"/>
        <v>4</v>
      </c>
      <c r="E261">
        <v>148.69999999999999</v>
      </c>
      <c r="G261">
        <v>148.80000000000001</v>
      </c>
      <c r="H261">
        <v>155.6</v>
      </c>
      <c r="I261">
        <v>135.1</v>
      </c>
      <c r="J261">
        <v>149.9</v>
      </c>
      <c r="K261">
        <v>168.6</v>
      </c>
      <c r="L261">
        <v>150.4</v>
      </c>
      <c r="M261">
        <v>120.3</v>
      </c>
      <c r="N261">
        <v>157.1</v>
      </c>
      <c r="O261">
        <v>136.80000000000001</v>
      </c>
      <c r="Q261">
        <v>151.4</v>
      </c>
      <c r="V261">
        <v>155.6</v>
      </c>
      <c r="W261">
        <v>144.1</v>
      </c>
      <c r="Y261">
        <v>150.69999999999999</v>
      </c>
      <c r="AE261" s="19">
        <f>AVERAGE(AE258,AE255,AE252,AE267,AE270,AE273)</f>
        <v>150.9</v>
      </c>
      <c r="AH261" s="19"/>
    </row>
    <row r="262" spans="1:35" x14ac:dyDescent="0.3">
      <c r="A262" t="s">
        <v>29</v>
      </c>
      <c r="B262">
        <v>2020</v>
      </c>
      <c r="C262" t="s">
        <v>33</v>
      </c>
      <c r="D262">
        <f t="shared" si="5"/>
        <v>4</v>
      </c>
      <c r="E262">
        <v>151.80000000000001</v>
      </c>
      <c r="G262">
        <v>151.9</v>
      </c>
      <c r="H262">
        <v>155.5</v>
      </c>
      <c r="I262">
        <v>131.6</v>
      </c>
      <c r="J262">
        <v>152.9</v>
      </c>
      <c r="K262">
        <v>180</v>
      </c>
      <c r="L262">
        <v>150.80000000000001</v>
      </c>
      <c r="M262">
        <v>121.2</v>
      </c>
      <c r="N262">
        <v>154</v>
      </c>
      <c r="O262">
        <v>133.5</v>
      </c>
      <c r="Q262">
        <v>153.5</v>
      </c>
      <c r="V262">
        <v>155.6</v>
      </c>
      <c r="W262">
        <v>137.1</v>
      </c>
      <c r="Y262">
        <v>144.80000000000001</v>
      </c>
      <c r="AH262" s="19"/>
    </row>
    <row r="263" spans="1:35" x14ac:dyDescent="0.3">
      <c r="A263" t="s">
        <v>27</v>
      </c>
      <c r="B263">
        <v>2020</v>
      </c>
      <c r="C263" t="s">
        <v>34</v>
      </c>
      <c r="D263">
        <f t="shared" si="5"/>
        <v>5</v>
      </c>
      <c r="V263" s="2"/>
    </row>
    <row r="264" spans="1:35" x14ac:dyDescent="0.3">
      <c r="A264" t="s">
        <v>30</v>
      </c>
      <c r="B264">
        <v>2020</v>
      </c>
      <c r="C264" t="s">
        <v>34</v>
      </c>
      <c r="D264">
        <f t="shared" si="5"/>
        <v>5</v>
      </c>
      <c r="AE264" s="19">
        <f>AVERAGE(AE261,AE258,AE255,AE267,AE273,AE270)</f>
        <v>151.01666666666668</v>
      </c>
      <c r="AG264" s="12"/>
      <c r="AI264" s="19"/>
    </row>
    <row r="265" spans="1:35" x14ac:dyDescent="0.3">
      <c r="A265" t="s">
        <v>29</v>
      </c>
      <c r="B265">
        <v>2020</v>
      </c>
      <c r="C265" t="s">
        <v>34</v>
      </c>
      <c r="D265">
        <f t="shared" si="5"/>
        <v>5</v>
      </c>
      <c r="AI265" s="19"/>
    </row>
    <row r="266" spans="1:35" x14ac:dyDescent="0.3">
      <c r="A266" t="s">
        <v>27</v>
      </c>
      <c r="B266">
        <v>2020</v>
      </c>
      <c r="C266" t="s">
        <v>35</v>
      </c>
      <c r="D266">
        <f t="shared" si="5"/>
        <v>6</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s="2">
        <f>'Missing values'!V190</f>
        <v>154.69999999999999</v>
      </c>
      <c r="W266">
        <v>144.9</v>
      </c>
      <c r="X266">
        <v>151.69999999999999</v>
      </c>
      <c r="Y266">
        <v>158.19999999999999</v>
      </c>
      <c r="Z266">
        <v>151.19999999999999</v>
      </c>
      <c r="AA266">
        <v>161.80000000000001</v>
      </c>
      <c r="AB266">
        <v>153.19999999999999</v>
      </c>
      <c r="AC266">
        <v>141.4</v>
      </c>
      <c r="AD266">
        <v>151.69999999999999</v>
      </c>
      <c r="AE266">
        <v>152.69999999999999</v>
      </c>
    </row>
    <row r="267" spans="1:35" x14ac:dyDescent="0.3">
      <c r="A267" t="s">
        <v>30</v>
      </c>
      <c r="B267">
        <v>2020</v>
      </c>
      <c r="C267" t="s">
        <v>35</v>
      </c>
      <c r="D267">
        <f t="shared" si="5"/>
        <v>6</v>
      </c>
      <c r="E267">
        <v>149.6</v>
      </c>
      <c r="F267">
        <v>192.7</v>
      </c>
      <c r="G267">
        <v>151.4</v>
      </c>
      <c r="H267">
        <v>153.30000000000001</v>
      </c>
      <c r="I267">
        <v>136.30000000000001</v>
      </c>
      <c r="J267">
        <v>147.19999999999999</v>
      </c>
      <c r="K267">
        <v>156.5</v>
      </c>
      <c r="L267">
        <v>150.9</v>
      </c>
      <c r="M267">
        <v>114.2</v>
      </c>
      <c r="N267">
        <v>159.5</v>
      </c>
      <c r="O267">
        <v>139.4</v>
      </c>
      <c r="P267">
        <v>161.80000000000001</v>
      </c>
      <c r="Q267">
        <v>154</v>
      </c>
      <c r="R267">
        <v>183.5</v>
      </c>
      <c r="S267">
        <v>152.5</v>
      </c>
      <c r="T267">
        <v>144.4</v>
      </c>
      <c r="U267">
        <v>151.4</v>
      </c>
      <c r="V267">
        <v>154.69999999999999</v>
      </c>
      <c r="W267">
        <v>141.9</v>
      </c>
      <c r="X267">
        <v>146.4</v>
      </c>
      <c r="Y267">
        <v>154.4</v>
      </c>
      <c r="Z267">
        <v>151.6</v>
      </c>
      <c r="AA267">
        <v>156.4</v>
      </c>
      <c r="AB267">
        <v>148.30000000000001</v>
      </c>
      <c r="AC267">
        <v>135</v>
      </c>
      <c r="AD267">
        <v>147</v>
      </c>
      <c r="AE267">
        <v>151.80000000000001</v>
      </c>
    </row>
    <row r="268" spans="1:35" x14ac:dyDescent="0.3">
      <c r="A268" t="s">
        <v>29</v>
      </c>
      <c r="B268">
        <v>2020</v>
      </c>
      <c r="C268" t="s">
        <v>35</v>
      </c>
      <c r="D268">
        <f t="shared" si="5"/>
        <v>6</v>
      </c>
      <c r="E268">
        <v>152.69999999999999</v>
      </c>
      <c r="F268">
        <v>197</v>
      </c>
      <c r="G268">
        <v>154.6</v>
      </c>
      <c r="H268">
        <v>153.4</v>
      </c>
      <c r="I268">
        <v>132.9</v>
      </c>
      <c r="J268">
        <v>151.80000000000001</v>
      </c>
      <c r="K268">
        <v>171.2</v>
      </c>
      <c r="L268">
        <v>152</v>
      </c>
      <c r="M268">
        <v>116.3</v>
      </c>
      <c r="N268">
        <v>158.80000000000001</v>
      </c>
      <c r="O268">
        <v>135.6</v>
      </c>
      <c r="P268">
        <v>161.69999999999999</v>
      </c>
      <c r="Q268">
        <v>157</v>
      </c>
      <c r="R268">
        <v>186.7</v>
      </c>
      <c r="S268">
        <v>149.1</v>
      </c>
      <c r="T268">
        <v>136.6</v>
      </c>
      <c r="U268">
        <v>147.19999999999999</v>
      </c>
      <c r="V268">
        <v>154.69999999999999</v>
      </c>
      <c r="W268">
        <v>137.1</v>
      </c>
      <c r="X268">
        <v>140.4</v>
      </c>
      <c r="Y268">
        <v>148.1</v>
      </c>
      <c r="Z268">
        <v>152.19999999999999</v>
      </c>
      <c r="AA268">
        <v>152.5</v>
      </c>
      <c r="AB268">
        <v>144.5</v>
      </c>
      <c r="AC268">
        <v>129.30000000000001</v>
      </c>
      <c r="AD268">
        <v>142</v>
      </c>
      <c r="AE268">
        <v>150.80000000000001</v>
      </c>
    </row>
    <row r="269" spans="1:35" x14ac:dyDescent="0.3">
      <c r="A269" t="s">
        <v>27</v>
      </c>
      <c r="B269">
        <v>2020</v>
      </c>
      <c r="C269" t="s">
        <v>36</v>
      </c>
      <c r="D269">
        <f t="shared" si="5"/>
        <v>7</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s="2">
        <f>'Missing values'!V220</f>
        <v>154.69999999999999</v>
      </c>
      <c r="W269">
        <v>144.9</v>
      </c>
      <c r="X269">
        <v>151.69999999999999</v>
      </c>
      <c r="Y269">
        <v>158.19999999999999</v>
      </c>
      <c r="Z269">
        <v>151.19999999999999</v>
      </c>
      <c r="AA269">
        <v>161.80000000000001</v>
      </c>
      <c r="AB269">
        <v>153.19999999999999</v>
      </c>
      <c r="AC269">
        <v>141.4</v>
      </c>
      <c r="AD269">
        <v>151.69999999999999</v>
      </c>
      <c r="AE269">
        <v>152.69999999999999</v>
      </c>
    </row>
    <row r="270" spans="1:35" x14ac:dyDescent="0.3">
      <c r="A270" t="s">
        <v>30</v>
      </c>
      <c r="B270">
        <v>2020</v>
      </c>
      <c r="C270" t="s">
        <v>36</v>
      </c>
      <c r="D270">
        <f t="shared" si="5"/>
        <v>7</v>
      </c>
      <c r="E270">
        <v>149.6</v>
      </c>
      <c r="F270">
        <v>192.7</v>
      </c>
      <c r="G270">
        <v>151.4</v>
      </c>
      <c r="H270">
        <v>153.30000000000001</v>
      </c>
      <c r="I270">
        <v>136.30000000000001</v>
      </c>
      <c r="J270">
        <v>147.19999999999999</v>
      </c>
      <c r="K270">
        <v>156.5</v>
      </c>
      <c r="L270">
        <v>150.9</v>
      </c>
      <c r="M270">
        <v>114.2</v>
      </c>
      <c r="N270">
        <v>159.5</v>
      </c>
      <c r="O270">
        <v>139.4</v>
      </c>
      <c r="P270">
        <v>161.80000000000001</v>
      </c>
      <c r="Q270">
        <v>154</v>
      </c>
      <c r="R270">
        <v>183.5</v>
      </c>
      <c r="S270">
        <v>152.5</v>
      </c>
      <c r="T270">
        <v>144.4</v>
      </c>
      <c r="U270">
        <v>151.4</v>
      </c>
      <c r="V270">
        <v>154.69999999999999</v>
      </c>
      <c r="W270">
        <v>141.9</v>
      </c>
      <c r="X270">
        <v>146.4</v>
      </c>
      <c r="Y270">
        <v>154.4</v>
      </c>
      <c r="Z270">
        <v>151.6</v>
      </c>
      <c r="AA270">
        <v>156.4</v>
      </c>
      <c r="AB270">
        <v>148.30000000000001</v>
      </c>
      <c r="AC270">
        <v>135</v>
      </c>
      <c r="AD270">
        <v>147</v>
      </c>
      <c r="AE270">
        <v>151.80000000000001</v>
      </c>
      <c r="AI270" s="19"/>
    </row>
    <row r="271" spans="1:35" x14ac:dyDescent="0.3">
      <c r="A271" t="s">
        <v>29</v>
      </c>
      <c r="B271">
        <v>2020</v>
      </c>
      <c r="C271" t="s">
        <v>36</v>
      </c>
      <c r="D271">
        <f t="shared" si="5"/>
        <v>7</v>
      </c>
      <c r="E271">
        <v>152.69999999999999</v>
      </c>
      <c r="F271">
        <v>197</v>
      </c>
      <c r="G271">
        <v>154.6</v>
      </c>
      <c r="H271">
        <v>153.4</v>
      </c>
      <c r="I271">
        <v>132.9</v>
      </c>
      <c r="J271">
        <v>151.80000000000001</v>
      </c>
      <c r="K271">
        <v>171.2</v>
      </c>
      <c r="L271">
        <v>152</v>
      </c>
      <c r="M271">
        <v>116.3</v>
      </c>
      <c r="N271">
        <v>158.80000000000001</v>
      </c>
      <c r="O271">
        <v>135.6</v>
      </c>
      <c r="P271">
        <v>161.69999999999999</v>
      </c>
      <c r="Q271">
        <v>157</v>
      </c>
      <c r="R271">
        <v>186.7</v>
      </c>
      <c r="S271">
        <v>149.1</v>
      </c>
      <c r="T271">
        <v>136.6</v>
      </c>
      <c r="U271">
        <v>147.19999999999999</v>
      </c>
      <c r="V271">
        <v>154.69999999999999</v>
      </c>
      <c r="W271">
        <v>137.1</v>
      </c>
      <c r="X271">
        <v>140.4</v>
      </c>
      <c r="Y271">
        <v>148.1</v>
      </c>
      <c r="Z271">
        <v>152.19999999999999</v>
      </c>
      <c r="AA271">
        <v>152.5</v>
      </c>
      <c r="AB271">
        <v>144.5</v>
      </c>
      <c r="AC271">
        <v>129.30000000000001</v>
      </c>
      <c r="AD271">
        <v>142</v>
      </c>
      <c r="AE271">
        <v>150.80000000000001</v>
      </c>
    </row>
    <row r="272" spans="1:35" x14ac:dyDescent="0.3">
      <c r="A272" t="s">
        <v>27</v>
      </c>
      <c r="B272">
        <v>2020</v>
      </c>
      <c r="C272" t="s">
        <v>37</v>
      </c>
      <c r="D272">
        <f t="shared" si="5"/>
        <v>8</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s="2">
        <f>'Missing values'!V250</f>
        <v>155.5</v>
      </c>
      <c r="W272">
        <v>145.80000000000001</v>
      </c>
      <c r="X272">
        <v>151.9</v>
      </c>
      <c r="Y272">
        <v>158.80000000000001</v>
      </c>
      <c r="Z272">
        <v>153.6</v>
      </c>
      <c r="AA272">
        <v>162.69999999999999</v>
      </c>
      <c r="AB272">
        <v>152.19999999999999</v>
      </c>
      <c r="AC272">
        <v>143.6</v>
      </c>
      <c r="AD272">
        <v>153</v>
      </c>
      <c r="AE272">
        <v>154.69999999999999</v>
      </c>
    </row>
    <row r="273" spans="1:31" x14ac:dyDescent="0.3">
      <c r="A273" t="s">
        <v>30</v>
      </c>
      <c r="B273">
        <v>2020</v>
      </c>
      <c r="C273" t="s">
        <v>37</v>
      </c>
      <c r="D273">
        <f t="shared" si="5"/>
        <v>8</v>
      </c>
      <c r="E273">
        <v>148.9</v>
      </c>
      <c r="F273">
        <v>190.9</v>
      </c>
      <c r="G273">
        <v>150.80000000000001</v>
      </c>
      <c r="H273">
        <v>153.30000000000001</v>
      </c>
      <c r="I273">
        <v>137.4</v>
      </c>
      <c r="J273">
        <v>150.4</v>
      </c>
      <c r="K273">
        <v>178.1</v>
      </c>
      <c r="L273">
        <v>150.4</v>
      </c>
      <c r="M273">
        <v>115.1</v>
      </c>
      <c r="N273">
        <v>160</v>
      </c>
      <c r="O273">
        <v>140.6</v>
      </c>
      <c r="P273">
        <v>162.30000000000001</v>
      </c>
      <c r="Q273">
        <v>157</v>
      </c>
      <c r="R273">
        <v>182.6</v>
      </c>
      <c r="S273">
        <v>153.1</v>
      </c>
      <c r="T273">
        <v>143.4</v>
      </c>
      <c r="U273">
        <v>151.69999999999999</v>
      </c>
      <c r="V273">
        <v>155.5</v>
      </c>
      <c r="W273">
        <v>143</v>
      </c>
      <c r="X273">
        <v>148.4</v>
      </c>
      <c r="Y273">
        <v>155</v>
      </c>
      <c r="Z273">
        <v>154.30000000000001</v>
      </c>
      <c r="AA273">
        <v>158.5</v>
      </c>
      <c r="AB273">
        <v>146</v>
      </c>
      <c r="AC273">
        <v>138.5</v>
      </c>
      <c r="AD273">
        <v>149</v>
      </c>
      <c r="AE273">
        <v>153.9</v>
      </c>
    </row>
    <row r="274" spans="1:31" x14ac:dyDescent="0.3">
      <c r="A274" t="s">
        <v>29</v>
      </c>
      <c r="B274">
        <v>2020</v>
      </c>
      <c r="C274" t="s">
        <v>37</v>
      </c>
      <c r="D274">
        <f t="shared" si="5"/>
        <v>8</v>
      </c>
      <c r="E274">
        <v>151.6</v>
      </c>
      <c r="F274">
        <v>197.8</v>
      </c>
      <c r="G274">
        <v>154.5</v>
      </c>
      <c r="H274">
        <v>153.4</v>
      </c>
      <c r="I274">
        <v>133.4</v>
      </c>
      <c r="J274">
        <v>154.5</v>
      </c>
      <c r="K274">
        <v>191.9</v>
      </c>
      <c r="L274">
        <v>151.30000000000001</v>
      </c>
      <c r="M274">
        <v>116.8</v>
      </c>
      <c r="N274">
        <v>160</v>
      </c>
      <c r="O274">
        <v>136.5</v>
      </c>
      <c r="P274">
        <v>163.30000000000001</v>
      </c>
      <c r="Q274">
        <v>159.9</v>
      </c>
      <c r="R274">
        <v>187.2</v>
      </c>
      <c r="S274">
        <v>150</v>
      </c>
      <c r="T274">
        <v>135.19999999999999</v>
      </c>
      <c r="U274">
        <v>147.80000000000001</v>
      </c>
      <c r="V274">
        <v>155.5</v>
      </c>
      <c r="W274">
        <v>138.30000000000001</v>
      </c>
      <c r="X274">
        <v>144.5</v>
      </c>
      <c r="Y274">
        <v>148.69999999999999</v>
      </c>
      <c r="Z274">
        <v>155.19999999999999</v>
      </c>
      <c r="AA274">
        <v>155.5</v>
      </c>
      <c r="AB274">
        <v>141.19999999999999</v>
      </c>
      <c r="AC274">
        <v>133.9</v>
      </c>
      <c r="AD274">
        <v>144.80000000000001</v>
      </c>
      <c r="AE274">
        <v>152.9</v>
      </c>
    </row>
    <row r="275" spans="1:31" x14ac:dyDescent="0.3">
      <c r="A275" t="s">
        <v>27</v>
      </c>
      <c r="B275">
        <v>2020</v>
      </c>
      <c r="C275" t="s">
        <v>38</v>
      </c>
      <c r="D275">
        <f t="shared" si="5"/>
        <v>9</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s="2">
        <f>'Missing values'!V280</f>
        <v>156.30000000000001</v>
      </c>
      <c r="W275">
        <v>146.4</v>
      </c>
      <c r="X275">
        <v>151.6</v>
      </c>
      <c r="Y275">
        <v>159.1</v>
      </c>
      <c r="Z275">
        <v>157.4</v>
      </c>
      <c r="AA275">
        <v>161.1</v>
      </c>
      <c r="AB275">
        <v>152.80000000000001</v>
      </c>
      <c r="AC275">
        <v>144.6</v>
      </c>
      <c r="AD275">
        <v>153.69999999999999</v>
      </c>
      <c r="AE275">
        <v>155.4</v>
      </c>
    </row>
    <row r="276" spans="1:31" x14ac:dyDescent="0.3">
      <c r="A276" t="s">
        <v>30</v>
      </c>
      <c r="B276">
        <v>2020</v>
      </c>
      <c r="C276" t="s">
        <v>38</v>
      </c>
      <c r="D276">
        <f t="shared" si="5"/>
        <v>9</v>
      </c>
      <c r="E276">
        <v>148.4</v>
      </c>
      <c r="F276">
        <v>187.1</v>
      </c>
      <c r="G276">
        <v>152.5</v>
      </c>
      <c r="H276">
        <v>153.6</v>
      </c>
      <c r="I276">
        <v>138.19999999999999</v>
      </c>
      <c r="J276">
        <v>150.9</v>
      </c>
      <c r="K276">
        <v>186.7</v>
      </c>
      <c r="L276">
        <v>149.80000000000001</v>
      </c>
      <c r="M276">
        <v>116.4</v>
      </c>
      <c r="N276">
        <v>160.30000000000001</v>
      </c>
      <c r="O276">
        <v>142.19999999999999</v>
      </c>
      <c r="P276">
        <v>162.9</v>
      </c>
      <c r="Q276">
        <v>158</v>
      </c>
      <c r="R276">
        <v>184.4</v>
      </c>
      <c r="S276">
        <v>153.4</v>
      </c>
      <c r="T276">
        <v>144.30000000000001</v>
      </c>
      <c r="U276">
        <v>152</v>
      </c>
      <c r="V276">
        <v>156.30000000000001</v>
      </c>
      <c r="W276">
        <v>142.9</v>
      </c>
      <c r="X276">
        <v>148.69999999999999</v>
      </c>
      <c r="Y276">
        <v>155.6</v>
      </c>
      <c r="Z276">
        <v>158.4</v>
      </c>
      <c r="AA276">
        <v>157.5</v>
      </c>
      <c r="AB276">
        <v>146.6</v>
      </c>
      <c r="AC276">
        <v>139.6</v>
      </c>
      <c r="AD276">
        <v>150</v>
      </c>
      <c r="AE276">
        <v>154.69999999999999</v>
      </c>
    </row>
    <row r="277" spans="1:31" x14ac:dyDescent="0.3">
      <c r="A277" t="s">
        <v>29</v>
      </c>
      <c r="B277">
        <v>2020</v>
      </c>
      <c r="C277" t="s">
        <v>38</v>
      </c>
      <c r="D277">
        <f t="shared" si="5"/>
        <v>9</v>
      </c>
      <c r="E277">
        <v>151.5</v>
      </c>
      <c r="F277">
        <v>193.1</v>
      </c>
      <c r="G277">
        <v>157.30000000000001</v>
      </c>
      <c r="H277">
        <v>153.9</v>
      </c>
      <c r="I277">
        <v>134.4</v>
      </c>
      <c r="J277">
        <v>155.4</v>
      </c>
      <c r="K277">
        <v>202</v>
      </c>
      <c r="L277">
        <v>150.80000000000001</v>
      </c>
      <c r="M277">
        <v>118.9</v>
      </c>
      <c r="N277">
        <v>160.9</v>
      </c>
      <c r="O277">
        <v>137.69999999999999</v>
      </c>
      <c r="P277">
        <v>164.4</v>
      </c>
      <c r="Q277">
        <v>161.30000000000001</v>
      </c>
      <c r="R277">
        <v>188.7</v>
      </c>
      <c r="S277">
        <v>150.19999999999999</v>
      </c>
      <c r="T277">
        <v>136.30000000000001</v>
      </c>
      <c r="U277">
        <v>148.1</v>
      </c>
      <c r="V277">
        <v>156.30000000000001</v>
      </c>
      <c r="W277">
        <v>137.19999999999999</v>
      </c>
      <c r="X277">
        <v>145.4</v>
      </c>
      <c r="Y277">
        <v>150</v>
      </c>
      <c r="Z277">
        <v>159.80000000000001</v>
      </c>
      <c r="AA277">
        <v>154.9</v>
      </c>
      <c r="AB277">
        <v>141.80000000000001</v>
      </c>
      <c r="AC277">
        <v>135.1</v>
      </c>
      <c r="AD277">
        <v>146</v>
      </c>
      <c r="AE277">
        <v>154</v>
      </c>
    </row>
    <row r="278" spans="1:31" x14ac:dyDescent="0.3">
      <c r="A278" t="s">
        <v>27</v>
      </c>
      <c r="B278">
        <v>2020</v>
      </c>
      <c r="C278" t="s">
        <v>39</v>
      </c>
      <c r="D278">
        <f t="shared" si="5"/>
        <v>10</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s="2">
        <f>'Missing values'!V310</f>
        <v>156.5</v>
      </c>
      <c r="W278">
        <v>146.80000000000001</v>
      </c>
      <c r="X278">
        <v>152</v>
      </c>
      <c r="Y278">
        <v>159.5</v>
      </c>
      <c r="Z278">
        <v>156.19999999999999</v>
      </c>
      <c r="AA278">
        <v>162.5</v>
      </c>
      <c r="AB278">
        <v>152.4</v>
      </c>
      <c r="AC278">
        <v>146.4</v>
      </c>
      <c r="AD278">
        <v>154.30000000000001</v>
      </c>
      <c r="AE278">
        <v>157.5</v>
      </c>
    </row>
    <row r="279" spans="1:31" x14ac:dyDescent="0.3">
      <c r="A279" t="s">
        <v>30</v>
      </c>
      <c r="B279">
        <v>2020</v>
      </c>
      <c r="C279" t="s">
        <v>39</v>
      </c>
      <c r="D279">
        <f t="shared" si="5"/>
        <v>10</v>
      </c>
      <c r="E279">
        <v>147.5</v>
      </c>
      <c r="F279">
        <v>188.9</v>
      </c>
      <c r="G279">
        <v>161.4</v>
      </c>
      <c r="H279">
        <v>153.6</v>
      </c>
      <c r="I279">
        <v>140.1</v>
      </c>
      <c r="J279">
        <v>151.19999999999999</v>
      </c>
      <c r="K279">
        <v>209.2</v>
      </c>
      <c r="L279">
        <v>150.9</v>
      </c>
      <c r="M279">
        <v>116.2</v>
      </c>
      <c r="N279">
        <v>161</v>
      </c>
      <c r="O279">
        <v>144</v>
      </c>
      <c r="P279">
        <v>163.19999999999999</v>
      </c>
      <c r="Q279">
        <v>161.4</v>
      </c>
      <c r="R279">
        <v>184.3</v>
      </c>
      <c r="S279">
        <v>153.69999999999999</v>
      </c>
      <c r="T279">
        <v>144.6</v>
      </c>
      <c r="U279">
        <v>152.30000000000001</v>
      </c>
      <c r="V279">
        <v>156.5</v>
      </c>
      <c r="W279">
        <v>143.1</v>
      </c>
      <c r="X279">
        <v>148.69999999999999</v>
      </c>
      <c r="Y279">
        <v>156.30000000000001</v>
      </c>
      <c r="Z279">
        <v>157</v>
      </c>
      <c r="AA279">
        <v>158.5</v>
      </c>
      <c r="AB279">
        <v>146.5</v>
      </c>
      <c r="AC279">
        <v>140.6</v>
      </c>
      <c r="AD279">
        <v>150.4</v>
      </c>
      <c r="AE279">
        <v>156.4</v>
      </c>
    </row>
    <row r="280" spans="1:31" x14ac:dyDescent="0.3">
      <c r="A280" t="s">
        <v>29</v>
      </c>
      <c r="B280">
        <v>2020</v>
      </c>
      <c r="C280" t="s">
        <v>39</v>
      </c>
      <c r="D280">
        <f t="shared" si="5"/>
        <v>10</v>
      </c>
      <c r="E280">
        <v>150.6</v>
      </c>
      <c r="F280">
        <v>193.7</v>
      </c>
      <c r="G280">
        <v>164.8</v>
      </c>
      <c r="H280">
        <v>153.69999999999999</v>
      </c>
      <c r="I280">
        <v>135.69999999999999</v>
      </c>
      <c r="J280">
        <v>155.69999999999999</v>
      </c>
      <c r="K280">
        <v>226</v>
      </c>
      <c r="L280">
        <v>152.19999999999999</v>
      </c>
      <c r="M280">
        <v>118.1</v>
      </c>
      <c r="N280">
        <v>161.30000000000001</v>
      </c>
      <c r="O280">
        <v>139.19999999999999</v>
      </c>
      <c r="P280">
        <v>164.8</v>
      </c>
      <c r="Q280">
        <v>164.4</v>
      </c>
      <c r="R280">
        <v>188.7</v>
      </c>
      <c r="S280">
        <v>150.5</v>
      </c>
      <c r="T280">
        <v>136.1</v>
      </c>
      <c r="U280">
        <v>148.30000000000001</v>
      </c>
      <c r="V280">
        <v>156.5</v>
      </c>
      <c r="W280">
        <v>137.1</v>
      </c>
      <c r="X280">
        <v>145.1</v>
      </c>
      <c r="Y280">
        <v>151</v>
      </c>
      <c r="Z280">
        <v>158.1</v>
      </c>
      <c r="AA280">
        <v>155.69999999999999</v>
      </c>
      <c r="AB280">
        <v>142</v>
      </c>
      <c r="AC280">
        <v>135.4</v>
      </c>
      <c r="AD280">
        <v>146.19999999999999</v>
      </c>
      <c r="AE280">
        <v>155.19999999999999</v>
      </c>
    </row>
    <row r="281" spans="1:31" x14ac:dyDescent="0.3">
      <c r="A281" t="s">
        <v>27</v>
      </c>
      <c r="B281">
        <v>2020</v>
      </c>
      <c r="C281" t="s">
        <v>41</v>
      </c>
      <c r="D281">
        <f t="shared" si="5"/>
        <v>11</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s="2">
        <f>'Missing values'!V340</f>
        <v>158</v>
      </c>
      <c r="W281">
        <v>147.5</v>
      </c>
      <c r="X281">
        <v>152.80000000000001</v>
      </c>
      <c r="Y281">
        <v>160.4</v>
      </c>
      <c r="Z281">
        <v>156.19999999999999</v>
      </c>
      <c r="AA281">
        <v>161.6</v>
      </c>
      <c r="AB281">
        <v>153.6</v>
      </c>
      <c r="AC281">
        <v>146.1</v>
      </c>
      <c r="AD281">
        <v>154.5</v>
      </c>
      <c r="AE281">
        <v>159.80000000000001</v>
      </c>
    </row>
    <row r="282" spans="1:31" x14ac:dyDescent="0.3">
      <c r="A282" t="s">
        <v>30</v>
      </c>
      <c r="B282">
        <v>2020</v>
      </c>
      <c r="C282" t="s">
        <v>41</v>
      </c>
      <c r="D282">
        <f t="shared" si="5"/>
        <v>11</v>
      </c>
      <c r="E282">
        <v>146.80000000000001</v>
      </c>
      <c r="F282">
        <v>191</v>
      </c>
      <c r="G282">
        <v>173.6</v>
      </c>
      <c r="H282">
        <v>153.80000000000001</v>
      </c>
      <c r="I282">
        <v>142.69999999999999</v>
      </c>
      <c r="J282">
        <v>148.4</v>
      </c>
      <c r="K282">
        <v>230</v>
      </c>
      <c r="L282">
        <v>156.80000000000001</v>
      </c>
      <c r="M282">
        <v>115.7</v>
      </c>
      <c r="N282">
        <v>161.80000000000001</v>
      </c>
      <c r="O282">
        <v>146.5</v>
      </c>
      <c r="P282">
        <v>163.80000000000001</v>
      </c>
      <c r="Q282">
        <v>164.7</v>
      </c>
      <c r="R282">
        <v>184.8</v>
      </c>
      <c r="S282">
        <v>154.30000000000001</v>
      </c>
      <c r="T282">
        <v>144.9</v>
      </c>
      <c r="U282">
        <v>152.80000000000001</v>
      </c>
      <c r="V282">
        <v>158</v>
      </c>
      <c r="W282">
        <v>143.6</v>
      </c>
      <c r="X282">
        <v>149.19999999999999</v>
      </c>
      <c r="Y282">
        <v>157.19999999999999</v>
      </c>
      <c r="Z282">
        <v>156.9</v>
      </c>
      <c r="AA282">
        <v>158.6</v>
      </c>
      <c r="AB282">
        <v>148.4</v>
      </c>
      <c r="AC282">
        <v>140.4</v>
      </c>
      <c r="AD282">
        <v>150.69999999999999</v>
      </c>
      <c r="AE282">
        <v>158.4</v>
      </c>
    </row>
    <row r="283" spans="1:31" x14ac:dyDescent="0.3">
      <c r="A283" t="s">
        <v>29</v>
      </c>
      <c r="B283">
        <v>2020</v>
      </c>
      <c r="C283" t="s">
        <v>41</v>
      </c>
      <c r="D283">
        <f t="shared" si="5"/>
        <v>11</v>
      </c>
      <c r="E283">
        <v>149.69999999999999</v>
      </c>
      <c r="F283">
        <v>195.5</v>
      </c>
      <c r="G283">
        <v>176.9</v>
      </c>
      <c r="H283">
        <v>153.9</v>
      </c>
      <c r="I283">
        <v>138</v>
      </c>
      <c r="J283">
        <v>150.5</v>
      </c>
      <c r="K283">
        <v>245.3</v>
      </c>
      <c r="L283">
        <v>158.69999999999999</v>
      </c>
      <c r="M283">
        <v>117.2</v>
      </c>
      <c r="N283">
        <v>161.4</v>
      </c>
      <c r="O283">
        <v>141.5</v>
      </c>
      <c r="P283">
        <v>165.1</v>
      </c>
      <c r="Q283">
        <v>167</v>
      </c>
      <c r="R283">
        <v>188.8</v>
      </c>
      <c r="S283">
        <v>151.1</v>
      </c>
      <c r="T283">
        <v>136.4</v>
      </c>
      <c r="U283">
        <v>148.80000000000001</v>
      </c>
      <c r="V283">
        <v>158</v>
      </c>
      <c r="W283">
        <v>137.30000000000001</v>
      </c>
      <c r="X283">
        <v>145.1</v>
      </c>
      <c r="Y283">
        <v>152</v>
      </c>
      <c r="Z283">
        <v>157.9</v>
      </c>
      <c r="AA283">
        <v>156.4</v>
      </c>
      <c r="AB283">
        <v>144.4</v>
      </c>
      <c r="AC283">
        <v>135.19999999999999</v>
      </c>
      <c r="AD283">
        <v>146.6</v>
      </c>
      <c r="AE283">
        <v>156.69999999999999</v>
      </c>
    </row>
    <row r="284" spans="1:31" x14ac:dyDescent="0.3">
      <c r="A284" t="s">
        <v>27</v>
      </c>
      <c r="B284">
        <v>2020</v>
      </c>
      <c r="C284" t="s">
        <v>42</v>
      </c>
      <c r="D284">
        <f t="shared" si="5"/>
        <v>12</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s="2">
        <f>'Missing values'!V370</f>
        <v>158.4</v>
      </c>
      <c r="W284">
        <v>148.69999999999999</v>
      </c>
      <c r="X284">
        <v>153.4</v>
      </c>
      <c r="Y284">
        <v>161.6</v>
      </c>
      <c r="Z284">
        <v>156.6</v>
      </c>
      <c r="AA284">
        <v>162.9</v>
      </c>
      <c r="AB284">
        <v>153.9</v>
      </c>
      <c r="AC284">
        <v>146.4</v>
      </c>
      <c r="AD284">
        <v>155.19999999999999</v>
      </c>
      <c r="AE284">
        <v>160.69999999999999</v>
      </c>
    </row>
    <row r="285" spans="1:31" x14ac:dyDescent="0.3">
      <c r="A285" t="s">
        <v>30</v>
      </c>
      <c r="B285">
        <v>2020</v>
      </c>
      <c r="C285" t="s">
        <v>42</v>
      </c>
      <c r="D285">
        <f t="shared" si="5"/>
        <v>12</v>
      </c>
      <c r="E285">
        <v>146</v>
      </c>
      <c r="F285">
        <v>191</v>
      </c>
      <c r="G285">
        <v>175.3</v>
      </c>
      <c r="H285">
        <v>154.1</v>
      </c>
      <c r="I285">
        <v>146.6</v>
      </c>
      <c r="J285">
        <v>147.69999999999999</v>
      </c>
      <c r="K285">
        <v>230.5</v>
      </c>
      <c r="L285">
        <v>160.19999999999999</v>
      </c>
      <c r="M285">
        <v>115.3</v>
      </c>
      <c r="N285">
        <v>163</v>
      </c>
      <c r="O285">
        <v>149.19999999999999</v>
      </c>
      <c r="P285">
        <v>164.8</v>
      </c>
      <c r="Q285">
        <v>165.4</v>
      </c>
      <c r="R285">
        <v>185.4</v>
      </c>
      <c r="S285">
        <v>155</v>
      </c>
      <c r="T285">
        <v>145.4</v>
      </c>
      <c r="U285">
        <v>153.6</v>
      </c>
      <c r="V285">
        <v>158.4</v>
      </c>
      <c r="W285">
        <v>144.6</v>
      </c>
      <c r="X285">
        <v>149.69999999999999</v>
      </c>
      <c r="Y285">
        <v>158.30000000000001</v>
      </c>
      <c r="Z285">
        <v>157.1</v>
      </c>
      <c r="AA285">
        <v>159.4</v>
      </c>
      <c r="AB285">
        <v>148.5</v>
      </c>
      <c r="AC285">
        <v>140.69999999999999</v>
      </c>
      <c r="AD285">
        <v>151.19999999999999</v>
      </c>
      <c r="AE285">
        <v>158.9</v>
      </c>
    </row>
    <row r="286" spans="1:31" x14ac:dyDescent="0.3">
      <c r="A286" t="s">
        <v>29</v>
      </c>
      <c r="B286">
        <v>2020</v>
      </c>
      <c r="C286" t="s">
        <v>42</v>
      </c>
      <c r="D286">
        <f t="shared" si="5"/>
        <v>12</v>
      </c>
      <c r="E286">
        <v>149</v>
      </c>
      <c r="F286">
        <v>195.7</v>
      </c>
      <c r="G286">
        <v>178.3</v>
      </c>
      <c r="H286">
        <v>154.19999999999999</v>
      </c>
      <c r="I286">
        <v>140.69999999999999</v>
      </c>
      <c r="J286">
        <v>149.69999999999999</v>
      </c>
      <c r="K286">
        <v>240.9</v>
      </c>
      <c r="L286">
        <v>161.5</v>
      </c>
      <c r="M286">
        <v>117.1</v>
      </c>
      <c r="N286">
        <v>161.9</v>
      </c>
      <c r="O286">
        <v>143.30000000000001</v>
      </c>
      <c r="P286">
        <v>166.1</v>
      </c>
      <c r="Q286">
        <v>167</v>
      </c>
      <c r="R286">
        <v>190.2</v>
      </c>
      <c r="S286">
        <v>151.9</v>
      </c>
      <c r="T286">
        <v>136.69999999999999</v>
      </c>
      <c r="U286">
        <v>149.6</v>
      </c>
      <c r="V286">
        <v>158.4</v>
      </c>
      <c r="W286">
        <v>137.9</v>
      </c>
      <c r="X286">
        <v>145.5</v>
      </c>
      <c r="Y286">
        <v>152.9</v>
      </c>
      <c r="Z286">
        <v>157.9</v>
      </c>
      <c r="AA286">
        <v>156.9</v>
      </c>
      <c r="AB286">
        <v>144.30000000000001</v>
      </c>
      <c r="AC286">
        <v>135.5</v>
      </c>
      <c r="AD286">
        <v>146.9</v>
      </c>
      <c r="AE286">
        <v>156.9</v>
      </c>
    </row>
    <row r="287" spans="1:31" x14ac:dyDescent="0.3">
      <c r="A287" t="s">
        <v>27</v>
      </c>
      <c r="B287">
        <v>2021</v>
      </c>
      <c r="C287" t="s">
        <v>28</v>
      </c>
      <c r="D287">
        <f t="shared" si="5"/>
        <v>1</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s="2">
        <f>'Missing values'!V31</f>
        <v>157.69999999999999</v>
      </c>
      <c r="W287">
        <v>150.9</v>
      </c>
      <c r="X287">
        <v>153.9</v>
      </c>
      <c r="Y287">
        <v>162.5</v>
      </c>
      <c r="Z287">
        <v>156.19999999999999</v>
      </c>
      <c r="AA287">
        <v>163.5</v>
      </c>
      <c r="AB287">
        <v>155.1</v>
      </c>
      <c r="AC287">
        <v>147.5</v>
      </c>
      <c r="AD287">
        <v>155.9</v>
      </c>
      <c r="AE287">
        <v>158.5</v>
      </c>
    </row>
    <row r="288" spans="1:31" x14ac:dyDescent="0.3">
      <c r="A288" t="s">
        <v>30</v>
      </c>
      <c r="B288">
        <v>2021</v>
      </c>
      <c r="C288" t="s">
        <v>28</v>
      </c>
      <c r="D288">
        <f t="shared" si="5"/>
        <v>1</v>
      </c>
      <c r="E288">
        <v>144.9</v>
      </c>
      <c r="F288">
        <v>190.1</v>
      </c>
      <c r="G288">
        <v>175.3</v>
      </c>
      <c r="H288">
        <v>154.1</v>
      </c>
      <c r="I288">
        <v>150.9</v>
      </c>
      <c r="J288">
        <v>149.6</v>
      </c>
      <c r="K288">
        <v>194.2</v>
      </c>
      <c r="L288">
        <v>160.4</v>
      </c>
      <c r="M288">
        <v>114.6</v>
      </c>
      <c r="N288">
        <v>164</v>
      </c>
      <c r="O288">
        <v>151.80000000000001</v>
      </c>
      <c r="P288">
        <v>165.6</v>
      </c>
      <c r="Q288">
        <v>161</v>
      </c>
      <c r="R288">
        <v>186.5</v>
      </c>
      <c r="S288">
        <v>155.5</v>
      </c>
      <c r="T288">
        <v>146.1</v>
      </c>
      <c r="U288">
        <v>154.19999999999999</v>
      </c>
      <c r="V288">
        <v>157.69999999999999</v>
      </c>
      <c r="W288">
        <v>147.9</v>
      </c>
      <c r="X288">
        <v>150</v>
      </c>
      <c r="Y288">
        <v>159.30000000000001</v>
      </c>
      <c r="Z288">
        <v>156.80000000000001</v>
      </c>
      <c r="AA288">
        <v>159.19999999999999</v>
      </c>
      <c r="AB288">
        <v>149.6</v>
      </c>
      <c r="AC288">
        <v>141.9</v>
      </c>
      <c r="AD288">
        <v>151.9</v>
      </c>
      <c r="AE288">
        <v>157.30000000000001</v>
      </c>
    </row>
    <row r="289" spans="1:31" x14ac:dyDescent="0.3">
      <c r="A289" t="s">
        <v>29</v>
      </c>
      <c r="B289">
        <v>2021</v>
      </c>
      <c r="C289" t="s">
        <v>28</v>
      </c>
      <c r="D289">
        <f t="shared" si="5"/>
        <v>1</v>
      </c>
      <c r="E289">
        <v>148</v>
      </c>
      <c r="F289">
        <v>194.8</v>
      </c>
      <c r="G289">
        <v>178.4</v>
      </c>
      <c r="H289">
        <v>154.4</v>
      </c>
      <c r="I289">
        <v>144.1</v>
      </c>
      <c r="J289">
        <v>152.6</v>
      </c>
      <c r="K289">
        <v>206.8</v>
      </c>
      <c r="L289">
        <v>162.1</v>
      </c>
      <c r="M289">
        <v>116.3</v>
      </c>
      <c r="N289">
        <v>163</v>
      </c>
      <c r="O289">
        <v>145.9</v>
      </c>
      <c r="P289">
        <v>167.2</v>
      </c>
      <c r="Q289">
        <v>163.4</v>
      </c>
      <c r="R289">
        <v>191.8</v>
      </c>
      <c r="S289">
        <v>152.5</v>
      </c>
      <c r="T289">
        <v>137.30000000000001</v>
      </c>
      <c r="U289">
        <v>150.19999999999999</v>
      </c>
      <c r="V289">
        <v>157.69999999999999</v>
      </c>
      <c r="W289">
        <v>142.9</v>
      </c>
      <c r="X289">
        <v>145.69999999999999</v>
      </c>
      <c r="Y289">
        <v>154.1</v>
      </c>
      <c r="Z289">
        <v>157.69999999999999</v>
      </c>
      <c r="AA289">
        <v>156.1</v>
      </c>
      <c r="AB289">
        <v>145.4</v>
      </c>
      <c r="AC289">
        <v>136.9</v>
      </c>
      <c r="AD289">
        <v>147.6</v>
      </c>
      <c r="AE289">
        <v>156</v>
      </c>
    </row>
    <row r="290" spans="1:31" x14ac:dyDescent="0.3">
      <c r="A290" t="s">
        <v>27</v>
      </c>
      <c r="B290">
        <v>2021</v>
      </c>
      <c r="C290" t="s">
        <v>31</v>
      </c>
      <c r="D290">
        <f t="shared" si="5"/>
        <v>2</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s="2">
        <f>'Missing values'!V64</f>
        <v>159.80000000000001</v>
      </c>
      <c r="W290">
        <v>154.4</v>
      </c>
      <c r="X290">
        <v>154.80000000000001</v>
      </c>
      <c r="Y290">
        <v>164.3</v>
      </c>
      <c r="Z290">
        <v>155.19999999999999</v>
      </c>
      <c r="AA290">
        <v>163.6</v>
      </c>
      <c r="AB290">
        <v>157</v>
      </c>
      <c r="AC290">
        <v>150.19999999999999</v>
      </c>
      <c r="AD290">
        <v>157.19999999999999</v>
      </c>
      <c r="AE290">
        <v>156.69999999999999</v>
      </c>
    </row>
    <row r="291" spans="1:31" x14ac:dyDescent="0.3">
      <c r="A291" t="s">
        <v>30</v>
      </c>
      <c r="B291">
        <v>2021</v>
      </c>
      <c r="C291" t="s">
        <v>31</v>
      </c>
      <c r="D291">
        <f t="shared" si="5"/>
        <v>2</v>
      </c>
      <c r="E291">
        <v>144.30000000000001</v>
      </c>
      <c r="F291">
        <v>186.5</v>
      </c>
      <c r="G291">
        <v>168.7</v>
      </c>
      <c r="H291">
        <v>154.69999999999999</v>
      </c>
      <c r="I291">
        <v>158.69999999999999</v>
      </c>
      <c r="J291">
        <v>150.69999999999999</v>
      </c>
      <c r="K291">
        <v>160</v>
      </c>
      <c r="L291">
        <v>158.80000000000001</v>
      </c>
      <c r="M291">
        <v>112.8</v>
      </c>
      <c r="N291">
        <v>164.2</v>
      </c>
      <c r="O291">
        <v>155.5</v>
      </c>
      <c r="P291">
        <v>167.5</v>
      </c>
      <c r="Q291">
        <v>156.9</v>
      </c>
      <c r="R291">
        <v>188.3</v>
      </c>
      <c r="S291">
        <v>157.19999999999999</v>
      </c>
      <c r="T291">
        <v>147.4</v>
      </c>
      <c r="U291">
        <v>155.80000000000001</v>
      </c>
      <c r="V291">
        <v>159.80000000000001</v>
      </c>
      <c r="W291">
        <v>152.4</v>
      </c>
      <c r="X291">
        <v>150.9</v>
      </c>
      <c r="Y291">
        <v>161.30000000000001</v>
      </c>
      <c r="Z291">
        <v>155.80000000000001</v>
      </c>
      <c r="AA291">
        <v>159.5</v>
      </c>
      <c r="AB291">
        <v>151.5</v>
      </c>
      <c r="AC291">
        <v>145.1</v>
      </c>
      <c r="AD291">
        <v>153.4</v>
      </c>
      <c r="AE291">
        <v>156.6</v>
      </c>
    </row>
    <row r="292" spans="1:31" x14ac:dyDescent="0.3">
      <c r="A292" t="s">
        <v>29</v>
      </c>
      <c r="B292">
        <v>2021</v>
      </c>
      <c r="C292" t="s">
        <v>31</v>
      </c>
      <c r="D292">
        <f t="shared" si="5"/>
        <v>2</v>
      </c>
      <c r="E292">
        <v>147.6</v>
      </c>
      <c r="F292">
        <v>191.2</v>
      </c>
      <c r="G292">
        <v>169.9</v>
      </c>
      <c r="H292">
        <v>155.1</v>
      </c>
      <c r="I292">
        <v>151.4</v>
      </c>
      <c r="J292">
        <v>154</v>
      </c>
      <c r="K292">
        <v>180.2</v>
      </c>
      <c r="L292">
        <v>159.80000000000001</v>
      </c>
      <c r="M292">
        <v>114.9</v>
      </c>
      <c r="N292">
        <v>162.5</v>
      </c>
      <c r="O292">
        <v>149.19999999999999</v>
      </c>
      <c r="P292">
        <v>169.4</v>
      </c>
      <c r="Q292">
        <v>160.80000000000001</v>
      </c>
      <c r="R292">
        <v>193.3</v>
      </c>
      <c r="S292">
        <v>154.19999999999999</v>
      </c>
      <c r="T292">
        <v>138.19999999999999</v>
      </c>
      <c r="U292">
        <v>151.80000000000001</v>
      </c>
      <c r="V292">
        <v>159.80000000000001</v>
      </c>
      <c r="W292">
        <v>149.1</v>
      </c>
      <c r="X292">
        <v>146.5</v>
      </c>
      <c r="Y292">
        <v>156.30000000000001</v>
      </c>
      <c r="Z292">
        <v>156.69999999999999</v>
      </c>
      <c r="AA292">
        <v>156.6</v>
      </c>
      <c r="AB292">
        <v>147.30000000000001</v>
      </c>
      <c r="AC292">
        <v>140.5</v>
      </c>
      <c r="AD292">
        <v>149.30000000000001</v>
      </c>
      <c r="AE292">
        <v>156.5</v>
      </c>
    </row>
    <row r="293" spans="1:31" x14ac:dyDescent="0.3">
      <c r="A293" t="s">
        <v>27</v>
      </c>
      <c r="B293">
        <v>2021</v>
      </c>
      <c r="C293" t="s">
        <v>32</v>
      </c>
      <c r="D293">
        <f t="shared" si="5"/>
        <v>3</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s="2">
        <f>'Missing values'!V97</f>
        <v>159.9</v>
      </c>
      <c r="W293">
        <v>156</v>
      </c>
      <c r="X293">
        <v>154.80000000000001</v>
      </c>
      <c r="Y293">
        <v>164.6</v>
      </c>
      <c r="Z293">
        <v>153.1</v>
      </c>
      <c r="AA293">
        <v>163.80000000000001</v>
      </c>
      <c r="AB293">
        <v>157.80000000000001</v>
      </c>
      <c r="AC293">
        <v>151.30000000000001</v>
      </c>
      <c r="AD293">
        <v>157.30000000000001</v>
      </c>
      <c r="AE293">
        <v>156.69999999999999</v>
      </c>
    </row>
    <row r="294" spans="1:31" x14ac:dyDescent="0.3">
      <c r="A294" t="s">
        <v>30</v>
      </c>
      <c r="B294">
        <v>2021</v>
      </c>
      <c r="C294" t="s">
        <v>32</v>
      </c>
      <c r="D294">
        <f t="shared" si="5"/>
        <v>3</v>
      </c>
      <c r="E294">
        <v>144.1</v>
      </c>
      <c r="F294">
        <v>192.2</v>
      </c>
      <c r="G294">
        <v>163.80000000000001</v>
      </c>
      <c r="H294">
        <v>154.9</v>
      </c>
      <c r="I294">
        <v>163.9</v>
      </c>
      <c r="J294">
        <v>153.69999999999999</v>
      </c>
      <c r="K294">
        <v>149.5</v>
      </c>
      <c r="L294">
        <v>159.80000000000001</v>
      </c>
      <c r="M294">
        <v>112.6</v>
      </c>
      <c r="N294">
        <v>163.5</v>
      </c>
      <c r="O294">
        <v>156.5</v>
      </c>
      <c r="P294">
        <v>168.2</v>
      </c>
      <c r="Q294">
        <v>156.69999999999999</v>
      </c>
      <c r="R294">
        <v>188.1</v>
      </c>
      <c r="S294">
        <v>157.80000000000001</v>
      </c>
      <c r="T294">
        <v>147.9</v>
      </c>
      <c r="U294">
        <v>156.4</v>
      </c>
      <c r="V294">
        <v>159.9</v>
      </c>
      <c r="W294">
        <v>155.5</v>
      </c>
      <c r="X294">
        <v>151.19999999999999</v>
      </c>
      <c r="Y294">
        <v>161.69999999999999</v>
      </c>
      <c r="Z294">
        <v>153.80000000000001</v>
      </c>
      <c r="AA294">
        <v>160.19999999999999</v>
      </c>
      <c r="AB294">
        <v>152.6</v>
      </c>
      <c r="AC294">
        <v>146.19999999999999</v>
      </c>
      <c r="AD294">
        <v>153.80000000000001</v>
      </c>
      <c r="AE294">
        <v>156.80000000000001</v>
      </c>
    </row>
    <row r="295" spans="1:31" x14ac:dyDescent="0.3">
      <c r="A295" t="s">
        <v>29</v>
      </c>
      <c r="B295">
        <v>2021</v>
      </c>
      <c r="C295" t="s">
        <v>32</v>
      </c>
      <c r="D295">
        <f t="shared" si="5"/>
        <v>3</v>
      </c>
      <c r="E295">
        <v>147.5</v>
      </c>
      <c r="F295">
        <v>197.5</v>
      </c>
      <c r="G295">
        <v>164.7</v>
      </c>
      <c r="H295">
        <v>155.6</v>
      </c>
      <c r="I295">
        <v>156.4</v>
      </c>
      <c r="J295">
        <v>157.30000000000001</v>
      </c>
      <c r="K295">
        <v>166.1</v>
      </c>
      <c r="L295">
        <v>161.1</v>
      </c>
      <c r="M295">
        <v>114.3</v>
      </c>
      <c r="N295">
        <v>162.6</v>
      </c>
      <c r="O295">
        <v>150.69999999999999</v>
      </c>
      <c r="P295">
        <v>170.3</v>
      </c>
      <c r="Q295">
        <v>160.4</v>
      </c>
      <c r="R295">
        <v>193.5</v>
      </c>
      <c r="S295">
        <v>155.1</v>
      </c>
      <c r="T295">
        <v>138.69999999999999</v>
      </c>
      <c r="U295">
        <v>152.6</v>
      </c>
      <c r="V295">
        <v>159.9</v>
      </c>
      <c r="W295">
        <v>154.80000000000001</v>
      </c>
      <c r="X295">
        <v>147.19999999999999</v>
      </c>
      <c r="Y295">
        <v>156.9</v>
      </c>
      <c r="Z295">
        <v>154.9</v>
      </c>
      <c r="AA295">
        <v>157.6</v>
      </c>
      <c r="AB295">
        <v>148.6</v>
      </c>
      <c r="AC295">
        <v>141.69999999999999</v>
      </c>
      <c r="AD295">
        <v>150</v>
      </c>
      <c r="AE295">
        <v>156.9</v>
      </c>
    </row>
    <row r="296" spans="1:31" x14ac:dyDescent="0.3">
      <c r="A296" t="s">
        <v>27</v>
      </c>
      <c r="B296">
        <v>2021</v>
      </c>
      <c r="C296" t="s">
        <v>33</v>
      </c>
      <c r="D296">
        <f t="shared" si="5"/>
        <v>4</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s="2">
        <f>'Missing values'!V127</f>
        <v>161.4</v>
      </c>
      <c r="W296">
        <v>156</v>
      </c>
      <c r="X296">
        <v>155.5</v>
      </c>
      <c r="Y296">
        <v>165.3</v>
      </c>
      <c r="Z296">
        <v>154.6</v>
      </c>
      <c r="AA296">
        <v>164.1</v>
      </c>
      <c r="AB296">
        <v>158.6</v>
      </c>
      <c r="AC296">
        <v>151.69999999999999</v>
      </c>
      <c r="AD296">
        <v>158</v>
      </c>
      <c r="AE296">
        <v>157.6</v>
      </c>
    </row>
    <row r="297" spans="1:31" x14ac:dyDescent="0.3">
      <c r="A297" t="s">
        <v>30</v>
      </c>
      <c r="B297">
        <v>2021</v>
      </c>
      <c r="C297" t="s">
        <v>33</v>
      </c>
      <c r="D297">
        <f t="shared" si="5"/>
        <v>4</v>
      </c>
      <c r="E297">
        <v>144.30000000000001</v>
      </c>
      <c r="F297">
        <v>198</v>
      </c>
      <c r="G297">
        <v>164.6</v>
      </c>
      <c r="H297">
        <v>155.4</v>
      </c>
      <c r="I297">
        <v>170.1</v>
      </c>
      <c r="J297">
        <v>164.4</v>
      </c>
      <c r="K297">
        <v>144.1</v>
      </c>
      <c r="L297">
        <v>161.69999999999999</v>
      </c>
      <c r="M297">
        <v>113.1</v>
      </c>
      <c r="N297">
        <v>163.9</v>
      </c>
      <c r="O297">
        <v>157.6</v>
      </c>
      <c r="P297">
        <v>168.9</v>
      </c>
      <c r="Q297">
        <v>158</v>
      </c>
      <c r="R297">
        <v>188.8</v>
      </c>
      <c r="S297">
        <v>158.80000000000001</v>
      </c>
      <c r="T297">
        <v>148.5</v>
      </c>
      <c r="U297">
        <v>157.30000000000001</v>
      </c>
      <c r="V297">
        <v>161.4</v>
      </c>
      <c r="W297">
        <v>155.6</v>
      </c>
      <c r="X297">
        <v>151.80000000000001</v>
      </c>
      <c r="Y297">
        <v>162.30000000000001</v>
      </c>
      <c r="Z297">
        <v>155.4</v>
      </c>
      <c r="AA297">
        <v>160.30000000000001</v>
      </c>
      <c r="AB297">
        <v>153.19999999999999</v>
      </c>
      <c r="AC297">
        <v>146.6</v>
      </c>
      <c r="AD297">
        <v>154.4</v>
      </c>
      <c r="AE297">
        <v>157.80000000000001</v>
      </c>
    </row>
    <row r="298" spans="1:31" x14ac:dyDescent="0.3">
      <c r="A298" t="s">
        <v>29</v>
      </c>
      <c r="B298">
        <v>2021</v>
      </c>
      <c r="C298" t="s">
        <v>33</v>
      </c>
      <c r="D298">
        <f t="shared" si="5"/>
        <v>4</v>
      </c>
      <c r="E298">
        <v>147.6</v>
      </c>
      <c r="F298">
        <v>202.5</v>
      </c>
      <c r="G298">
        <v>166.4</v>
      </c>
      <c r="H298">
        <v>156</v>
      </c>
      <c r="I298">
        <v>161.4</v>
      </c>
      <c r="J298">
        <v>168.8</v>
      </c>
      <c r="K298">
        <v>161.6</v>
      </c>
      <c r="L298">
        <v>162.80000000000001</v>
      </c>
      <c r="M298">
        <v>114.8</v>
      </c>
      <c r="N298">
        <v>162.80000000000001</v>
      </c>
      <c r="O298">
        <v>151.5</v>
      </c>
      <c r="P298">
        <v>171.4</v>
      </c>
      <c r="Q298">
        <v>162</v>
      </c>
      <c r="R298">
        <v>194.4</v>
      </c>
      <c r="S298">
        <v>155.9</v>
      </c>
      <c r="T298">
        <v>139.30000000000001</v>
      </c>
      <c r="U298">
        <v>153.4</v>
      </c>
      <c r="V298">
        <v>161.4</v>
      </c>
      <c r="W298">
        <v>154.9</v>
      </c>
      <c r="X298">
        <v>147.6</v>
      </c>
      <c r="Y298">
        <v>157.5</v>
      </c>
      <c r="Z298">
        <v>156.6</v>
      </c>
      <c r="AA298">
        <v>157.6</v>
      </c>
      <c r="AB298">
        <v>149.1</v>
      </c>
      <c r="AC298">
        <v>142.1</v>
      </c>
      <c r="AD298">
        <v>150.5</v>
      </c>
      <c r="AE298">
        <v>158</v>
      </c>
    </row>
    <row r="299" spans="1:31" x14ac:dyDescent="0.3">
      <c r="A299" t="s">
        <v>27</v>
      </c>
      <c r="B299">
        <v>2021</v>
      </c>
      <c r="C299" t="s">
        <v>34</v>
      </c>
      <c r="D299">
        <f t="shared" si="5"/>
        <v>5</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s="2">
        <f>'Missing values'!V160</f>
        <v>161.6</v>
      </c>
      <c r="W299">
        <v>161.69999999999999</v>
      </c>
      <c r="X299">
        <v>158.80000000000001</v>
      </c>
      <c r="Y299">
        <v>169.1</v>
      </c>
      <c r="Z299">
        <v>159.30000000000001</v>
      </c>
      <c r="AA299">
        <v>167.6</v>
      </c>
      <c r="AB299">
        <v>160</v>
      </c>
      <c r="AC299">
        <v>153.19999999999999</v>
      </c>
      <c r="AD299">
        <v>161.1</v>
      </c>
      <c r="AE299">
        <v>161.1</v>
      </c>
    </row>
    <row r="300" spans="1:31" x14ac:dyDescent="0.3">
      <c r="A300" t="s">
        <v>30</v>
      </c>
      <c r="B300">
        <v>2021</v>
      </c>
      <c r="C300" t="s">
        <v>34</v>
      </c>
      <c r="D300">
        <f t="shared" si="5"/>
        <v>5</v>
      </c>
      <c r="E300">
        <v>146.30000000000001</v>
      </c>
      <c r="F300">
        <v>200.5</v>
      </c>
      <c r="G300">
        <v>170.3</v>
      </c>
      <c r="H300">
        <v>156.1</v>
      </c>
      <c r="I300">
        <v>178.7</v>
      </c>
      <c r="J300">
        <v>167.1</v>
      </c>
      <c r="K300">
        <v>147.9</v>
      </c>
      <c r="L300">
        <v>165.4</v>
      </c>
      <c r="M300">
        <v>114.8</v>
      </c>
      <c r="N300">
        <v>168.2</v>
      </c>
      <c r="O300">
        <v>159.30000000000001</v>
      </c>
      <c r="P300">
        <v>170.4</v>
      </c>
      <c r="Q300">
        <v>160.69999999999999</v>
      </c>
      <c r="R300">
        <v>191.9</v>
      </c>
      <c r="S300">
        <v>161.80000000000001</v>
      </c>
      <c r="T300">
        <v>152.1</v>
      </c>
      <c r="U300">
        <v>160.4</v>
      </c>
      <c r="V300">
        <v>161.6</v>
      </c>
      <c r="W300">
        <v>159.4</v>
      </c>
      <c r="X300">
        <v>154.69999999999999</v>
      </c>
      <c r="Y300">
        <v>165.8</v>
      </c>
      <c r="Z300">
        <v>158.6</v>
      </c>
      <c r="AA300">
        <v>161.19999999999999</v>
      </c>
      <c r="AB300">
        <v>155.80000000000001</v>
      </c>
      <c r="AC300">
        <v>148.9</v>
      </c>
      <c r="AD300">
        <v>156.80000000000001</v>
      </c>
      <c r="AE300">
        <v>160.4</v>
      </c>
    </row>
    <row r="301" spans="1:31" x14ac:dyDescent="0.3">
      <c r="A301" t="s">
        <v>29</v>
      </c>
      <c r="B301">
        <v>2021</v>
      </c>
      <c r="C301" t="s">
        <v>34</v>
      </c>
      <c r="D301">
        <f t="shared" si="5"/>
        <v>5</v>
      </c>
      <c r="E301">
        <v>148.80000000000001</v>
      </c>
      <c r="F301">
        <v>204.3</v>
      </c>
      <c r="G301">
        <v>173</v>
      </c>
      <c r="H301">
        <v>156.5</v>
      </c>
      <c r="I301">
        <v>168.8</v>
      </c>
      <c r="J301">
        <v>172.5</v>
      </c>
      <c r="K301">
        <v>166.5</v>
      </c>
      <c r="L301">
        <v>165.9</v>
      </c>
      <c r="M301">
        <v>115.9</v>
      </c>
      <c r="N301">
        <v>165.2</v>
      </c>
      <c r="O301">
        <v>152</v>
      </c>
      <c r="P301">
        <v>171.1</v>
      </c>
      <c r="Q301">
        <v>164.2</v>
      </c>
      <c r="R301">
        <v>198.2</v>
      </c>
      <c r="S301">
        <v>156.5</v>
      </c>
      <c r="T301">
        <v>140.19999999999999</v>
      </c>
      <c r="U301">
        <v>154.1</v>
      </c>
      <c r="V301">
        <v>161.6</v>
      </c>
      <c r="W301">
        <v>155.5</v>
      </c>
      <c r="X301">
        <v>150.1</v>
      </c>
      <c r="Y301">
        <v>160.4</v>
      </c>
      <c r="Z301">
        <v>157.5</v>
      </c>
      <c r="AA301">
        <v>156.6</v>
      </c>
      <c r="AB301">
        <v>152.6</v>
      </c>
      <c r="AC301">
        <v>145</v>
      </c>
      <c r="AD301">
        <v>152.30000000000001</v>
      </c>
      <c r="AE301">
        <v>159.5</v>
      </c>
    </row>
    <row r="302" spans="1:31" x14ac:dyDescent="0.3">
      <c r="A302" t="s">
        <v>27</v>
      </c>
      <c r="B302">
        <v>2021</v>
      </c>
      <c r="C302" t="s">
        <v>35</v>
      </c>
      <c r="D302">
        <f t="shared" ref="D302:D365" si="6">IF(C302="January",1,
IF(C302="february",2,
IF(C302="march",3,
IF(C302="april",4,
IF(C302="may",5,
IF(C302="june",6,
IF(C302="july",7,
IF(C302="august",8,
IF(C302="september",9,
IF(C302="october",10,
IF(C302="november",11,
IF(C302="december",12,
))))))))))))</f>
        <v>6</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s="2">
        <f>'Missing values'!V193</f>
        <v>160.5</v>
      </c>
      <c r="W302">
        <v>162.1</v>
      </c>
      <c r="X302">
        <v>159.19999999999999</v>
      </c>
      <c r="Y302">
        <v>169.7</v>
      </c>
      <c r="Z302">
        <v>159.4</v>
      </c>
      <c r="AA302">
        <v>166.8</v>
      </c>
      <c r="AB302">
        <v>160.4</v>
      </c>
      <c r="AC302">
        <v>154.19999999999999</v>
      </c>
      <c r="AD302">
        <v>161.5</v>
      </c>
      <c r="AE302">
        <v>162.1</v>
      </c>
    </row>
    <row r="303" spans="1:31" x14ac:dyDescent="0.3">
      <c r="A303" t="s">
        <v>30</v>
      </c>
      <c r="B303">
        <v>2021</v>
      </c>
      <c r="C303" t="s">
        <v>35</v>
      </c>
      <c r="D303">
        <f t="shared" si="6"/>
        <v>6</v>
      </c>
      <c r="E303">
        <v>146.69999999999999</v>
      </c>
      <c r="F303">
        <v>202</v>
      </c>
      <c r="G303">
        <v>180.7</v>
      </c>
      <c r="H303">
        <v>156.19999999999999</v>
      </c>
      <c r="I303">
        <v>183.7</v>
      </c>
      <c r="J303">
        <v>164.6</v>
      </c>
      <c r="K303">
        <v>155.4</v>
      </c>
      <c r="L303">
        <v>166</v>
      </c>
      <c r="M303">
        <v>115.1</v>
      </c>
      <c r="N303">
        <v>168.5</v>
      </c>
      <c r="O303">
        <v>160</v>
      </c>
      <c r="P303">
        <v>172.4</v>
      </c>
      <c r="Q303">
        <v>162.6</v>
      </c>
      <c r="R303">
        <v>190.8</v>
      </c>
      <c r="S303">
        <v>162.19999999999999</v>
      </c>
      <c r="T303">
        <v>151.80000000000001</v>
      </c>
      <c r="U303">
        <v>160.69999999999999</v>
      </c>
      <c r="V303">
        <v>160.5</v>
      </c>
      <c r="W303">
        <v>159.80000000000001</v>
      </c>
      <c r="X303">
        <v>154.80000000000001</v>
      </c>
      <c r="Y303">
        <v>166.3</v>
      </c>
      <c r="Z303">
        <v>158.80000000000001</v>
      </c>
      <c r="AA303">
        <v>161.69999999999999</v>
      </c>
      <c r="AB303">
        <v>154.9</v>
      </c>
      <c r="AC303">
        <v>150.69999999999999</v>
      </c>
      <c r="AD303">
        <v>157.6</v>
      </c>
      <c r="AE303">
        <v>161.30000000000001</v>
      </c>
    </row>
    <row r="304" spans="1:31" x14ac:dyDescent="0.3">
      <c r="A304" t="s">
        <v>29</v>
      </c>
      <c r="B304">
        <v>2021</v>
      </c>
      <c r="C304" t="s">
        <v>35</v>
      </c>
      <c r="D304">
        <f t="shared" si="6"/>
        <v>6</v>
      </c>
      <c r="E304">
        <v>149.19999999999999</v>
      </c>
      <c r="F304">
        <v>205.5</v>
      </c>
      <c r="G304">
        <v>182.8</v>
      </c>
      <c r="H304">
        <v>156.5</v>
      </c>
      <c r="I304">
        <v>172.2</v>
      </c>
      <c r="J304">
        <v>171.5</v>
      </c>
      <c r="K304">
        <v>176.2</v>
      </c>
      <c r="L304">
        <v>166.9</v>
      </c>
      <c r="M304">
        <v>116.1</v>
      </c>
      <c r="N304">
        <v>165.5</v>
      </c>
      <c r="O304">
        <v>152.30000000000001</v>
      </c>
      <c r="P304">
        <v>173.3</v>
      </c>
      <c r="Q304">
        <v>166.2</v>
      </c>
      <c r="R304">
        <v>195.6</v>
      </c>
      <c r="S304">
        <v>157.30000000000001</v>
      </c>
      <c r="T304">
        <v>140.5</v>
      </c>
      <c r="U304">
        <v>154.80000000000001</v>
      </c>
      <c r="V304">
        <v>160.5</v>
      </c>
      <c r="W304">
        <v>156.1</v>
      </c>
      <c r="X304">
        <v>149.80000000000001</v>
      </c>
      <c r="Y304">
        <v>160.80000000000001</v>
      </c>
      <c r="Z304">
        <v>158</v>
      </c>
      <c r="AA304">
        <v>158.1</v>
      </c>
      <c r="AB304">
        <v>150.69999999999999</v>
      </c>
      <c r="AC304">
        <v>147.5</v>
      </c>
      <c r="AD304">
        <v>153.4</v>
      </c>
      <c r="AE304">
        <v>160.4</v>
      </c>
    </row>
    <row r="305" spans="1:31" x14ac:dyDescent="0.3">
      <c r="A305" t="s">
        <v>27</v>
      </c>
      <c r="B305">
        <v>2021</v>
      </c>
      <c r="C305" t="s">
        <v>36</v>
      </c>
      <c r="D305">
        <f t="shared" si="6"/>
        <v>7</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s="2">
        <f>'Missing values'!V223</f>
        <v>161.5</v>
      </c>
      <c r="W305">
        <v>162.5</v>
      </c>
      <c r="X305">
        <v>160.30000000000001</v>
      </c>
      <c r="Y305">
        <v>170.4</v>
      </c>
      <c r="Z305">
        <v>160.4</v>
      </c>
      <c r="AA305">
        <v>167.2</v>
      </c>
      <c r="AB305">
        <v>160.69999999999999</v>
      </c>
      <c r="AC305">
        <v>157.1</v>
      </c>
      <c r="AD305">
        <v>162.80000000000001</v>
      </c>
      <c r="AE305">
        <v>163.19999999999999</v>
      </c>
    </row>
    <row r="306" spans="1:31" x14ac:dyDescent="0.3">
      <c r="A306" t="s">
        <v>30</v>
      </c>
      <c r="B306">
        <v>2021</v>
      </c>
      <c r="C306" t="s">
        <v>36</v>
      </c>
      <c r="D306">
        <f t="shared" si="6"/>
        <v>7</v>
      </c>
      <c r="E306">
        <v>146.4</v>
      </c>
      <c r="F306">
        <v>206.8</v>
      </c>
      <c r="G306">
        <v>182.2</v>
      </c>
      <c r="H306">
        <v>157.5</v>
      </c>
      <c r="I306">
        <v>182.1</v>
      </c>
      <c r="J306">
        <v>163.9</v>
      </c>
      <c r="K306">
        <v>164.2</v>
      </c>
      <c r="L306">
        <v>164</v>
      </c>
      <c r="M306">
        <v>114.5</v>
      </c>
      <c r="N306">
        <v>168.3</v>
      </c>
      <c r="O306">
        <v>160.9</v>
      </c>
      <c r="P306">
        <v>172.2</v>
      </c>
      <c r="Q306">
        <v>164</v>
      </c>
      <c r="R306">
        <v>191.2</v>
      </c>
      <c r="S306">
        <v>162.80000000000001</v>
      </c>
      <c r="T306">
        <v>153.1</v>
      </c>
      <c r="U306">
        <v>161.4</v>
      </c>
      <c r="V306">
        <v>161.5</v>
      </c>
      <c r="W306">
        <v>160.69999999999999</v>
      </c>
      <c r="X306">
        <v>155.80000000000001</v>
      </c>
      <c r="Y306">
        <v>167</v>
      </c>
      <c r="Z306">
        <v>160.1</v>
      </c>
      <c r="AA306">
        <v>163.19999999999999</v>
      </c>
      <c r="AB306">
        <v>155.30000000000001</v>
      </c>
      <c r="AC306">
        <v>153.1</v>
      </c>
      <c r="AD306">
        <v>159</v>
      </c>
      <c r="AE306">
        <v>162.5</v>
      </c>
    </row>
    <row r="307" spans="1:31" x14ac:dyDescent="0.3">
      <c r="A307" t="s">
        <v>29</v>
      </c>
      <c r="B307">
        <v>2021</v>
      </c>
      <c r="C307" t="s">
        <v>36</v>
      </c>
      <c r="D307">
        <f t="shared" si="6"/>
        <v>7</v>
      </c>
      <c r="E307">
        <v>149.1</v>
      </c>
      <c r="F307">
        <v>210.9</v>
      </c>
      <c r="G307">
        <v>185</v>
      </c>
      <c r="H307">
        <v>158.19999999999999</v>
      </c>
      <c r="I307">
        <v>170.6</v>
      </c>
      <c r="J307">
        <v>170.9</v>
      </c>
      <c r="K307">
        <v>186.4</v>
      </c>
      <c r="L307">
        <v>164.7</v>
      </c>
      <c r="M307">
        <v>115.7</v>
      </c>
      <c r="N307">
        <v>165.5</v>
      </c>
      <c r="O307">
        <v>153.4</v>
      </c>
      <c r="P307">
        <v>173.5</v>
      </c>
      <c r="Q307">
        <v>167.9</v>
      </c>
      <c r="R307">
        <v>195.5</v>
      </c>
      <c r="S307">
        <v>157.9</v>
      </c>
      <c r="T307">
        <v>141.9</v>
      </c>
      <c r="U307">
        <v>155.5</v>
      </c>
      <c r="V307">
        <v>161.5</v>
      </c>
      <c r="W307">
        <v>157.69999999999999</v>
      </c>
      <c r="X307">
        <v>150.69999999999999</v>
      </c>
      <c r="Y307">
        <v>161.5</v>
      </c>
      <c r="Z307">
        <v>159.6</v>
      </c>
      <c r="AA307">
        <v>160.30000000000001</v>
      </c>
      <c r="AB307">
        <v>151.19999999999999</v>
      </c>
      <c r="AC307">
        <v>149.5</v>
      </c>
      <c r="AD307">
        <v>155</v>
      </c>
      <c r="AE307">
        <v>161.80000000000001</v>
      </c>
    </row>
    <row r="308" spans="1:31" x14ac:dyDescent="0.3">
      <c r="A308" t="s">
        <v>27</v>
      </c>
      <c r="B308">
        <v>2021</v>
      </c>
      <c r="C308" t="s">
        <v>37</v>
      </c>
      <c r="D308">
        <f t="shared" si="6"/>
        <v>8</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s="2">
        <f>'Missing values'!V253</f>
        <v>162.1</v>
      </c>
      <c r="W308">
        <v>163.1</v>
      </c>
      <c r="X308">
        <v>160.9</v>
      </c>
      <c r="Y308">
        <v>171.1</v>
      </c>
      <c r="Z308">
        <v>160.30000000000001</v>
      </c>
      <c r="AA308">
        <v>167.5</v>
      </c>
      <c r="AB308">
        <v>161.1</v>
      </c>
      <c r="AC308">
        <v>157.69999999999999</v>
      </c>
      <c r="AD308">
        <v>163.30000000000001</v>
      </c>
      <c r="AE308">
        <v>163.6</v>
      </c>
    </row>
    <row r="309" spans="1:31" x14ac:dyDescent="0.3">
      <c r="A309" t="s">
        <v>30</v>
      </c>
      <c r="B309">
        <v>2021</v>
      </c>
      <c r="C309" t="s">
        <v>37</v>
      </c>
      <c r="D309">
        <f t="shared" si="6"/>
        <v>8</v>
      </c>
      <c r="E309">
        <v>146.6</v>
      </c>
      <c r="F309">
        <v>204</v>
      </c>
      <c r="G309">
        <v>172.8</v>
      </c>
      <c r="H309">
        <v>158.4</v>
      </c>
      <c r="I309">
        <v>188</v>
      </c>
      <c r="J309">
        <v>156.80000000000001</v>
      </c>
      <c r="K309">
        <v>162.19999999999999</v>
      </c>
      <c r="L309">
        <v>164.1</v>
      </c>
      <c r="M309">
        <v>119.7</v>
      </c>
      <c r="N309">
        <v>168.8</v>
      </c>
      <c r="O309">
        <v>162.69999999999999</v>
      </c>
      <c r="P309">
        <v>173.9</v>
      </c>
      <c r="Q309">
        <v>164</v>
      </c>
      <c r="R309">
        <v>192.1</v>
      </c>
      <c r="S309">
        <v>164.5</v>
      </c>
      <c r="T309">
        <v>155.30000000000001</v>
      </c>
      <c r="U309">
        <v>163.19999999999999</v>
      </c>
      <c r="V309">
        <v>162.1</v>
      </c>
      <c r="W309">
        <v>162.6</v>
      </c>
      <c r="X309">
        <v>157.5</v>
      </c>
      <c r="Y309">
        <v>168.4</v>
      </c>
      <c r="Z309">
        <v>160</v>
      </c>
      <c r="AA309">
        <v>163.80000000000001</v>
      </c>
      <c r="AB309">
        <v>157.6</v>
      </c>
      <c r="AC309">
        <v>154</v>
      </c>
      <c r="AD309">
        <v>160</v>
      </c>
      <c r="AE309">
        <v>163.19999999999999</v>
      </c>
    </row>
    <row r="310" spans="1:31" x14ac:dyDescent="0.3">
      <c r="A310" t="s">
        <v>29</v>
      </c>
      <c r="B310">
        <v>2021</v>
      </c>
      <c r="C310" t="s">
        <v>37</v>
      </c>
      <c r="D310">
        <f t="shared" si="6"/>
        <v>8</v>
      </c>
      <c r="E310">
        <v>149.30000000000001</v>
      </c>
      <c r="F310">
        <v>207.4</v>
      </c>
      <c r="G310">
        <v>174.1</v>
      </c>
      <c r="H310">
        <v>159.19999999999999</v>
      </c>
      <c r="I310">
        <v>175</v>
      </c>
      <c r="J310">
        <v>161.30000000000001</v>
      </c>
      <c r="K310">
        <v>183.3</v>
      </c>
      <c r="L310">
        <v>164.5</v>
      </c>
      <c r="M310">
        <v>120.4</v>
      </c>
      <c r="N310">
        <v>166.2</v>
      </c>
      <c r="O310">
        <v>154.80000000000001</v>
      </c>
      <c r="P310">
        <v>175.1</v>
      </c>
      <c r="Q310">
        <v>167.3</v>
      </c>
      <c r="R310">
        <v>196.5</v>
      </c>
      <c r="S310">
        <v>159.80000000000001</v>
      </c>
      <c r="T310">
        <v>143.6</v>
      </c>
      <c r="U310">
        <v>157.30000000000001</v>
      </c>
      <c r="V310">
        <v>162.1</v>
      </c>
      <c r="W310">
        <v>160.69999999999999</v>
      </c>
      <c r="X310">
        <v>153.19999999999999</v>
      </c>
      <c r="Y310">
        <v>162.80000000000001</v>
      </c>
      <c r="Z310">
        <v>159.6</v>
      </c>
      <c r="AA310">
        <v>160.4</v>
      </c>
      <c r="AB310">
        <v>153.69999999999999</v>
      </c>
      <c r="AC310">
        <v>150.4</v>
      </c>
      <c r="AD310">
        <v>156</v>
      </c>
      <c r="AE310">
        <v>162.30000000000001</v>
      </c>
    </row>
    <row r="311" spans="1:31" x14ac:dyDescent="0.3">
      <c r="A311" t="s">
        <v>27</v>
      </c>
      <c r="B311">
        <v>2021</v>
      </c>
      <c r="C311" t="s">
        <v>38</v>
      </c>
      <c r="D311">
        <f t="shared" si="6"/>
        <v>9</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s="2">
        <f>'Missing values'!V283</f>
        <v>162.1</v>
      </c>
      <c r="W311">
        <v>163.69999999999999</v>
      </c>
      <c r="X311">
        <v>161.30000000000001</v>
      </c>
      <c r="Y311">
        <v>171.9</v>
      </c>
      <c r="Z311">
        <v>160.19999999999999</v>
      </c>
      <c r="AA311">
        <v>168.5</v>
      </c>
      <c r="AB311">
        <v>162.69999999999999</v>
      </c>
      <c r="AC311">
        <v>157.80000000000001</v>
      </c>
      <c r="AD311">
        <v>163.80000000000001</v>
      </c>
      <c r="AE311">
        <v>164</v>
      </c>
    </row>
    <row r="312" spans="1:31" x14ac:dyDescent="0.3">
      <c r="A312" t="s">
        <v>30</v>
      </c>
      <c r="B312">
        <v>2021</v>
      </c>
      <c r="C312" t="s">
        <v>38</v>
      </c>
      <c r="D312">
        <f t="shared" si="6"/>
        <v>9</v>
      </c>
      <c r="E312">
        <v>146.6</v>
      </c>
      <c r="F312">
        <v>204</v>
      </c>
      <c r="G312">
        <v>172.8</v>
      </c>
      <c r="H312">
        <v>158.4</v>
      </c>
      <c r="I312">
        <v>188</v>
      </c>
      <c r="J312">
        <v>156.69999999999999</v>
      </c>
      <c r="K312">
        <v>162.30000000000001</v>
      </c>
      <c r="L312">
        <v>164.1</v>
      </c>
      <c r="M312">
        <v>119.7</v>
      </c>
      <c r="N312">
        <v>168.8</v>
      </c>
      <c r="O312">
        <v>162.69999999999999</v>
      </c>
      <c r="P312">
        <v>173.9</v>
      </c>
      <c r="Q312">
        <v>164</v>
      </c>
      <c r="R312">
        <v>192.1</v>
      </c>
      <c r="S312">
        <v>164.6</v>
      </c>
      <c r="T312">
        <v>155.30000000000001</v>
      </c>
      <c r="U312">
        <v>163.30000000000001</v>
      </c>
      <c r="V312">
        <v>162.1</v>
      </c>
      <c r="W312">
        <v>162.6</v>
      </c>
      <c r="X312">
        <v>157.5</v>
      </c>
      <c r="Y312">
        <v>168.4</v>
      </c>
      <c r="Z312">
        <v>160</v>
      </c>
      <c r="AA312">
        <v>163.69999999999999</v>
      </c>
      <c r="AB312">
        <v>157.69999999999999</v>
      </c>
      <c r="AC312">
        <v>154</v>
      </c>
      <c r="AD312">
        <v>160</v>
      </c>
      <c r="AE312">
        <v>163.19999999999999</v>
      </c>
    </row>
    <row r="313" spans="1:31" x14ac:dyDescent="0.3">
      <c r="A313" t="s">
        <v>29</v>
      </c>
      <c r="B313">
        <v>2021</v>
      </c>
      <c r="C313" t="s">
        <v>38</v>
      </c>
      <c r="D313">
        <f t="shared" si="6"/>
        <v>9</v>
      </c>
      <c r="E313">
        <v>149.30000000000001</v>
      </c>
      <c r="F313">
        <v>207.4</v>
      </c>
      <c r="G313">
        <v>174.1</v>
      </c>
      <c r="H313">
        <v>159.1</v>
      </c>
      <c r="I313">
        <v>175</v>
      </c>
      <c r="J313">
        <v>161.19999999999999</v>
      </c>
      <c r="K313">
        <v>183.5</v>
      </c>
      <c r="L313">
        <v>164.5</v>
      </c>
      <c r="M313">
        <v>120.4</v>
      </c>
      <c r="N313">
        <v>166.2</v>
      </c>
      <c r="O313">
        <v>154.80000000000001</v>
      </c>
      <c r="P313">
        <v>175.1</v>
      </c>
      <c r="Q313">
        <v>167.3</v>
      </c>
      <c r="R313">
        <v>196.5</v>
      </c>
      <c r="S313">
        <v>159.80000000000001</v>
      </c>
      <c r="T313">
        <v>143.6</v>
      </c>
      <c r="U313">
        <v>157.4</v>
      </c>
      <c r="V313">
        <v>162.1</v>
      </c>
      <c r="W313">
        <v>160.80000000000001</v>
      </c>
      <c r="X313">
        <v>153.30000000000001</v>
      </c>
      <c r="Y313">
        <v>162.80000000000001</v>
      </c>
      <c r="Z313">
        <v>159.6</v>
      </c>
      <c r="AA313">
        <v>160.30000000000001</v>
      </c>
      <c r="AB313">
        <v>153.9</v>
      </c>
      <c r="AC313">
        <v>150.5</v>
      </c>
      <c r="AD313">
        <v>156</v>
      </c>
      <c r="AE313">
        <v>162.30000000000001</v>
      </c>
    </row>
    <row r="314" spans="1:31" x14ac:dyDescent="0.3">
      <c r="A314" t="s">
        <v>27</v>
      </c>
      <c r="B314">
        <v>2021</v>
      </c>
      <c r="C314" t="s">
        <v>39</v>
      </c>
      <c r="D314">
        <f t="shared" si="6"/>
        <v>10</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s="2">
        <f>'Missing values'!V313</f>
        <v>163.6</v>
      </c>
      <c r="W314">
        <v>165.5</v>
      </c>
      <c r="X314">
        <v>162</v>
      </c>
      <c r="Y314">
        <v>172.5</v>
      </c>
      <c r="Z314">
        <v>161.1</v>
      </c>
      <c r="AA314">
        <v>169</v>
      </c>
      <c r="AB314">
        <v>163.19999999999999</v>
      </c>
      <c r="AC314">
        <v>159.5</v>
      </c>
      <c r="AD314">
        <v>164.7</v>
      </c>
      <c r="AE314">
        <v>166.3</v>
      </c>
    </row>
    <row r="315" spans="1:31" x14ac:dyDescent="0.3">
      <c r="A315" t="s">
        <v>30</v>
      </c>
      <c r="B315">
        <v>2021</v>
      </c>
      <c r="C315" t="s">
        <v>39</v>
      </c>
      <c r="D315">
        <f t="shared" si="6"/>
        <v>10</v>
      </c>
      <c r="E315">
        <v>147.4</v>
      </c>
      <c r="F315">
        <v>204.6</v>
      </c>
      <c r="G315">
        <v>171.2</v>
      </c>
      <c r="H315">
        <v>158.69999999999999</v>
      </c>
      <c r="I315">
        <v>190.6</v>
      </c>
      <c r="J315">
        <v>155.69999999999999</v>
      </c>
      <c r="K315">
        <v>185.3</v>
      </c>
      <c r="L315">
        <v>165.2</v>
      </c>
      <c r="M315">
        <v>121.9</v>
      </c>
      <c r="N315">
        <v>169.3</v>
      </c>
      <c r="O315">
        <v>163.19999999999999</v>
      </c>
      <c r="P315">
        <v>174.7</v>
      </c>
      <c r="Q315">
        <v>167.7</v>
      </c>
      <c r="R315">
        <v>192.7</v>
      </c>
      <c r="S315">
        <v>165.7</v>
      </c>
      <c r="T315">
        <v>156.30000000000001</v>
      </c>
      <c r="U315">
        <v>164.3</v>
      </c>
      <c r="V315">
        <v>163.6</v>
      </c>
      <c r="W315">
        <v>164.2</v>
      </c>
      <c r="X315">
        <v>158.4</v>
      </c>
      <c r="Y315">
        <v>169.1</v>
      </c>
      <c r="Z315">
        <v>160.80000000000001</v>
      </c>
      <c r="AA315">
        <v>163.9</v>
      </c>
      <c r="AB315">
        <v>158.6</v>
      </c>
      <c r="AC315">
        <v>155.69999999999999</v>
      </c>
      <c r="AD315">
        <v>161</v>
      </c>
      <c r="AE315">
        <v>165.5</v>
      </c>
    </row>
    <row r="316" spans="1:31" x14ac:dyDescent="0.3">
      <c r="A316" t="s">
        <v>29</v>
      </c>
      <c r="B316">
        <v>2021</v>
      </c>
      <c r="C316" t="s">
        <v>39</v>
      </c>
      <c r="D316">
        <f t="shared" si="6"/>
        <v>10</v>
      </c>
      <c r="E316">
        <v>150.1</v>
      </c>
      <c r="F316">
        <v>208.4</v>
      </c>
      <c r="G316">
        <v>173</v>
      </c>
      <c r="H316">
        <v>159.19999999999999</v>
      </c>
      <c r="I316">
        <v>176.6</v>
      </c>
      <c r="J316">
        <v>159.30000000000001</v>
      </c>
      <c r="K316">
        <v>214.4</v>
      </c>
      <c r="L316">
        <v>165.3</v>
      </c>
      <c r="M316">
        <v>122.5</v>
      </c>
      <c r="N316">
        <v>166.8</v>
      </c>
      <c r="O316">
        <v>155.4</v>
      </c>
      <c r="P316">
        <v>175.9</v>
      </c>
      <c r="Q316">
        <v>171.5</v>
      </c>
      <c r="R316">
        <v>197</v>
      </c>
      <c r="S316">
        <v>160.80000000000001</v>
      </c>
      <c r="T316">
        <v>144.4</v>
      </c>
      <c r="U316">
        <v>158.30000000000001</v>
      </c>
      <c r="V316">
        <v>163.6</v>
      </c>
      <c r="W316">
        <v>162.19999999999999</v>
      </c>
      <c r="X316">
        <v>154.30000000000001</v>
      </c>
      <c r="Y316">
        <v>163.5</v>
      </c>
      <c r="Z316">
        <v>160.30000000000001</v>
      </c>
      <c r="AA316">
        <v>160.30000000000001</v>
      </c>
      <c r="AB316">
        <v>155.1</v>
      </c>
      <c r="AC316">
        <v>152.19999999999999</v>
      </c>
      <c r="AD316">
        <v>157</v>
      </c>
      <c r="AE316">
        <v>164.6</v>
      </c>
    </row>
    <row r="317" spans="1:31" x14ac:dyDescent="0.3">
      <c r="A317" t="s">
        <v>27</v>
      </c>
      <c r="B317">
        <v>2021</v>
      </c>
      <c r="C317" t="s">
        <v>41</v>
      </c>
      <c r="D317">
        <f t="shared" si="6"/>
        <v>11</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s="2">
        <f>'Missing values'!V343</f>
        <v>164.2</v>
      </c>
      <c r="W317">
        <v>165.3</v>
      </c>
      <c r="X317">
        <v>162.9</v>
      </c>
      <c r="Y317">
        <v>173.4</v>
      </c>
      <c r="Z317">
        <v>162.4</v>
      </c>
      <c r="AA317">
        <v>169.3</v>
      </c>
      <c r="AB317">
        <v>163.80000000000001</v>
      </c>
      <c r="AC317">
        <v>158.9</v>
      </c>
      <c r="AD317">
        <v>165.2</v>
      </c>
      <c r="AE317">
        <v>167.6</v>
      </c>
    </row>
    <row r="318" spans="1:31" x14ac:dyDescent="0.3">
      <c r="A318" t="s">
        <v>30</v>
      </c>
      <c r="B318">
        <v>2021</v>
      </c>
      <c r="C318" t="s">
        <v>41</v>
      </c>
      <c r="D318">
        <f t="shared" si="6"/>
        <v>11</v>
      </c>
      <c r="E318">
        <v>148.19999999999999</v>
      </c>
      <c r="F318">
        <v>201.6</v>
      </c>
      <c r="G318">
        <v>173</v>
      </c>
      <c r="H318">
        <v>159.30000000000001</v>
      </c>
      <c r="I318">
        <v>190.1</v>
      </c>
      <c r="J318">
        <v>156.5</v>
      </c>
      <c r="K318">
        <v>199.2</v>
      </c>
      <c r="L318">
        <v>165.3</v>
      </c>
      <c r="M318">
        <v>122.4</v>
      </c>
      <c r="N318">
        <v>169.6</v>
      </c>
      <c r="O318">
        <v>163.69999999999999</v>
      </c>
      <c r="P318">
        <v>175.5</v>
      </c>
      <c r="Q318">
        <v>169.7</v>
      </c>
      <c r="R318">
        <v>192.9</v>
      </c>
      <c r="S318">
        <v>167.2</v>
      </c>
      <c r="T318">
        <v>157.4</v>
      </c>
      <c r="U318">
        <v>165.8</v>
      </c>
      <c r="V318">
        <v>164.2</v>
      </c>
      <c r="W318">
        <v>163.9</v>
      </c>
      <c r="X318">
        <v>159.30000000000001</v>
      </c>
      <c r="Y318">
        <v>169.9</v>
      </c>
      <c r="Z318">
        <v>162.19999999999999</v>
      </c>
      <c r="AA318">
        <v>164.3</v>
      </c>
      <c r="AB318">
        <v>159.80000000000001</v>
      </c>
      <c r="AC318">
        <v>154.80000000000001</v>
      </c>
      <c r="AD318">
        <v>161.4</v>
      </c>
      <c r="AE318">
        <v>166.7</v>
      </c>
    </row>
    <row r="319" spans="1:31" x14ac:dyDescent="0.3">
      <c r="A319" t="s">
        <v>29</v>
      </c>
      <c r="B319">
        <v>2021</v>
      </c>
      <c r="C319" t="s">
        <v>41</v>
      </c>
      <c r="D319">
        <f t="shared" si="6"/>
        <v>11</v>
      </c>
      <c r="E319">
        <v>151</v>
      </c>
      <c r="F319">
        <v>204.9</v>
      </c>
      <c r="G319">
        <v>175.4</v>
      </c>
      <c r="H319">
        <v>159.6</v>
      </c>
      <c r="I319">
        <v>175.8</v>
      </c>
      <c r="J319">
        <v>160.30000000000001</v>
      </c>
      <c r="K319">
        <v>229.1</v>
      </c>
      <c r="L319">
        <v>165.1</v>
      </c>
      <c r="M319">
        <v>123.1</v>
      </c>
      <c r="N319">
        <v>167.2</v>
      </c>
      <c r="O319">
        <v>156.1</v>
      </c>
      <c r="P319">
        <v>176.8</v>
      </c>
      <c r="Q319">
        <v>173.5</v>
      </c>
      <c r="R319">
        <v>197</v>
      </c>
      <c r="S319">
        <v>162.30000000000001</v>
      </c>
      <c r="T319">
        <v>145.30000000000001</v>
      </c>
      <c r="U319">
        <v>159.69999999999999</v>
      </c>
      <c r="V319">
        <v>164.2</v>
      </c>
      <c r="W319">
        <v>161.6</v>
      </c>
      <c r="X319">
        <v>155.19999999999999</v>
      </c>
      <c r="Y319">
        <v>164.2</v>
      </c>
      <c r="Z319">
        <v>161.80000000000001</v>
      </c>
      <c r="AA319">
        <v>160.80000000000001</v>
      </c>
      <c r="AB319">
        <v>156.69999999999999</v>
      </c>
      <c r="AC319">
        <v>151.19999999999999</v>
      </c>
      <c r="AD319">
        <v>157.30000000000001</v>
      </c>
      <c r="AE319">
        <v>165.6</v>
      </c>
    </row>
    <row r="320" spans="1:31" x14ac:dyDescent="0.3">
      <c r="A320" t="s">
        <v>27</v>
      </c>
      <c r="B320">
        <v>2021</v>
      </c>
      <c r="C320" t="s">
        <v>42</v>
      </c>
      <c r="D320">
        <f t="shared" si="6"/>
        <v>12</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s="2">
        <f>'Missing values'!V373</f>
        <v>163.4</v>
      </c>
      <c r="W320">
        <v>165.6</v>
      </c>
      <c r="X320">
        <v>163.9</v>
      </c>
      <c r="Y320">
        <v>174</v>
      </c>
      <c r="Z320">
        <v>162.80000000000001</v>
      </c>
      <c r="AA320">
        <v>169.7</v>
      </c>
      <c r="AB320">
        <v>164.5</v>
      </c>
      <c r="AC320">
        <v>160.1</v>
      </c>
      <c r="AD320">
        <v>166</v>
      </c>
      <c r="AE320">
        <v>167</v>
      </c>
    </row>
    <row r="321" spans="1:31" x14ac:dyDescent="0.3">
      <c r="A321" t="s">
        <v>30</v>
      </c>
      <c r="B321">
        <v>2021</v>
      </c>
      <c r="C321" t="s">
        <v>42</v>
      </c>
      <c r="D321">
        <f t="shared" si="6"/>
        <v>12</v>
      </c>
      <c r="E321">
        <v>148.69999999999999</v>
      </c>
      <c r="F321">
        <v>198.8</v>
      </c>
      <c r="G321">
        <v>177.9</v>
      </c>
      <c r="H321">
        <v>159.9</v>
      </c>
      <c r="I321">
        <v>187.6</v>
      </c>
      <c r="J321">
        <v>154.9</v>
      </c>
      <c r="K321">
        <v>188.3</v>
      </c>
      <c r="L321">
        <v>164.4</v>
      </c>
      <c r="M321">
        <v>121</v>
      </c>
      <c r="N321">
        <v>170.5</v>
      </c>
      <c r="O321">
        <v>164.2</v>
      </c>
      <c r="P321">
        <v>176.5</v>
      </c>
      <c r="Q321">
        <v>168.2</v>
      </c>
      <c r="R321">
        <v>192.4</v>
      </c>
      <c r="S321">
        <v>168.5</v>
      </c>
      <c r="T321">
        <v>158.69999999999999</v>
      </c>
      <c r="U321">
        <v>167</v>
      </c>
      <c r="V321">
        <v>163.4</v>
      </c>
      <c r="W321">
        <v>164.1</v>
      </c>
      <c r="X321">
        <v>160.19999999999999</v>
      </c>
      <c r="Y321">
        <v>170.6</v>
      </c>
      <c r="Z321">
        <v>162.6</v>
      </c>
      <c r="AA321">
        <v>164.4</v>
      </c>
      <c r="AB321">
        <v>160.6</v>
      </c>
      <c r="AC321">
        <v>155.69999999999999</v>
      </c>
      <c r="AD321">
        <v>162</v>
      </c>
      <c r="AE321">
        <v>166.2</v>
      </c>
    </row>
    <row r="322" spans="1:31" x14ac:dyDescent="0.3">
      <c r="A322" t="s">
        <v>29</v>
      </c>
      <c r="B322">
        <v>2021</v>
      </c>
      <c r="C322" t="s">
        <v>42</v>
      </c>
      <c r="D322">
        <f t="shared" si="6"/>
        <v>12</v>
      </c>
      <c r="E322">
        <v>151.6</v>
      </c>
      <c r="F322">
        <v>202.2</v>
      </c>
      <c r="G322">
        <v>180</v>
      </c>
      <c r="H322">
        <v>160</v>
      </c>
      <c r="I322">
        <v>173.5</v>
      </c>
      <c r="J322">
        <v>158.30000000000001</v>
      </c>
      <c r="K322">
        <v>219.5</v>
      </c>
      <c r="L322">
        <v>164.2</v>
      </c>
      <c r="M322">
        <v>121.9</v>
      </c>
      <c r="N322">
        <v>168.2</v>
      </c>
      <c r="O322">
        <v>156.5</v>
      </c>
      <c r="P322">
        <v>178.2</v>
      </c>
      <c r="Q322">
        <v>172.2</v>
      </c>
      <c r="R322">
        <v>196.8</v>
      </c>
      <c r="S322">
        <v>163.30000000000001</v>
      </c>
      <c r="T322">
        <v>146.69999999999999</v>
      </c>
      <c r="U322">
        <v>160.69999999999999</v>
      </c>
      <c r="V322">
        <v>163.4</v>
      </c>
      <c r="W322">
        <v>161.69999999999999</v>
      </c>
      <c r="X322">
        <v>156</v>
      </c>
      <c r="Y322">
        <v>165.1</v>
      </c>
      <c r="Z322">
        <v>162.4</v>
      </c>
      <c r="AA322">
        <v>160.6</v>
      </c>
      <c r="AB322">
        <v>157.6</v>
      </c>
      <c r="AC322">
        <v>151.80000000000001</v>
      </c>
      <c r="AD322">
        <v>157.80000000000001</v>
      </c>
      <c r="AE322">
        <v>165.2</v>
      </c>
    </row>
    <row r="323" spans="1:31" x14ac:dyDescent="0.3">
      <c r="A323" t="s">
        <v>27</v>
      </c>
      <c r="B323">
        <v>2022</v>
      </c>
      <c r="C323" t="s">
        <v>28</v>
      </c>
      <c r="D323">
        <f t="shared" si="6"/>
        <v>1</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s="2">
        <f>'Missing values'!V34</f>
        <v>164.5</v>
      </c>
      <c r="W323">
        <v>165.8</v>
      </c>
      <c r="X323">
        <v>164.9</v>
      </c>
      <c r="Y323">
        <v>174.7</v>
      </c>
      <c r="Z323">
        <v>163.19999999999999</v>
      </c>
      <c r="AA323">
        <v>169.9</v>
      </c>
      <c r="AB323">
        <v>164.9</v>
      </c>
      <c r="AC323">
        <v>160.80000000000001</v>
      </c>
      <c r="AD323">
        <v>166.6</v>
      </c>
      <c r="AE323">
        <v>166.4</v>
      </c>
    </row>
    <row r="324" spans="1:31" x14ac:dyDescent="0.3">
      <c r="A324" t="s">
        <v>30</v>
      </c>
      <c r="B324">
        <v>2022</v>
      </c>
      <c r="C324" t="s">
        <v>28</v>
      </c>
      <c r="D324">
        <f t="shared" si="6"/>
        <v>1</v>
      </c>
      <c r="E324">
        <v>149.5</v>
      </c>
      <c r="F324">
        <v>198.7</v>
      </c>
      <c r="G324">
        <v>178.8</v>
      </c>
      <c r="H324">
        <v>160.5</v>
      </c>
      <c r="I324">
        <v>184.7</v>
      </c>
      <c r="J324">
        <v>153.69999999999999</v>
      </c>
      <c r="K324">
        <v>174.3</v>
      </c>
      <c r="L324">
        <v>163.9</v>
      </c>
      <c r="M324">
        <v>120</v>
      </c>
      <c r="N324">
        <v>172.1</v>
      </c>
      <c r="O324">
        <v>164.3</v>
      </c>
      <c r="P324">
        <v>177.3</v>
      </c>
      <c r="Q324">
        <v>166.4</v>
      </c>
      <c r="R324">
        <v>192.2</v>
      </c>
      <c r="S324">
        <v>169.9</v>
      </c>
      <c r="T324">
        <v>160.69999999999999</v>
      </c>
      <c r="U324">
        <v>168.5</v>
      </c>
      <c r="V324">
        <v>164.5</v>
      </c>
      <c r="W324">
        <v>164.2</v>
      </c>
      <c r="X324">
        <v>161.1</v>
      </c>
      <c r="Y324">
        <v>171.4</v>
      </c>
      <c r="Z324">
        <v>163</v>
      </c>
      <c r="AA324">
        <v>164.7</v>
      </c>
      <c r="AB324">
        <v>161.19999999999999</v>
      </c>
      <c r="AC324">
        <v>156.5</v>
      </c>
      <c r="AD324">
        <v>162.69999999999999</v>
      </c>
      <c r="AE324">
        <v>165.7</v>
      </c>
    </row>
    <row r="325" spans="1:31" x14ac:dyDescent="0.3">
      <c r="A325" t="s">
        <v>29</v>
      </c>
      <c r="B325">
        <v>2022</v>
      </c>
      <c r="C325" t="s">
        <v>28</v>
      </c>
      <c r="D325">
        <f t="shared" si="6"/>
        <v>1</v>
      </c>
      <c r="E325">
        <v>152.19999999999999</v>
      </c>
      <c r="F325">
        <v>202.1</v>
      </c>
      <c r="G325">
        <v>180.1</v>
      </c>
      <c r="H325">
        <v>160.4</v>
      </c>
      <c r="I325">
        <v>171</v>
      </c>
      <c r="J325">
        <v>156.5</v>
      </c>
      <c r="K325">
        <v>203.6</v>
      </c>
      <c r="L325">
        <v>163.80000000000001</v>
      </c>
      <c r="M325">
        <v>121.3</v>
      </c>
      <c r="N325">
        <v>169.8</v>
      </c>
      <c r="O325">
        <v>156.6</v>
      </c>
      <c r="P325">
        <v>179</v>
      </c>
      <c r="Q325">
        <v>170.3</v>
      </c>
      <c r="R325">
        <v>196.4</v>
      </c>
      <c r="S325">
        <v>164.7</v>
      </c>
      <c r="T325">
        <v>148.5</v>
      </c>
      <c r="U325">
        <v>162.19999999999999</v>
      </c>
      <c r="V325">
        <v>164.5</v>
      </c>
      <c r="W325">
        <v>161.6</v>
      </c>
      <c r="X325">
        <v>156.80000000000001</v>
      </c>
      <c r="Y325">
        <v>166.1</v>
      </c>
      <c r="Z325">
        <v>162.80000000000001</v>
      </c>
      <c r="AA325">
        <v>161</v>
      </c>
      <c r="AB325">
        <v>158.4</v>
      </c>
      <c r="AC325">
        <v>152.69999999999999</v>
      </c>
      <c r="AD325">
        <v>158.6</v>
      </c>
      <c r="AE325">
        <v>165</v>
      </c>
    </row>
    <row r="326" spans="1:31" x14ac:dyDescent="0.3">
      <c r="A326" t="s">
        <v>27</v>
      </c>
      <c r="B326">
        <v>2022</v>
      </c>
      <c r="C326" t="s">
        <v>31</v>
      </c>
      <c r="D326">
        <f t="shared" si="6"/>
        <v>2</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s="2">
        <f>'Missing values'!V67</f>
        <v>165.5</v>
      </c>
      <c r="W326">
        <v>167.4</v>
      </c>
      <c r="X326">
        <v>165.7</v>
      </c>
      <c r="Y326">
        <v>175.3</v>
      </c>
      <c r="Z326">
        <v>164.5</v>
      </c>
      <c r="AA326">
        <v>170.3</v>
      </c>
      <c r="AB326">
        <v>165.5</v>
      </c>
      <c r="AC326">
        <v>161.19999999999999</v>
      </c>
      <c r="AD326">
        <v>167.3</v>
      </c>
      <c r="AE326">
        <v>166.7</v>
      </c>
    </row>
    <row r="327" spans="1:31" x14ac:dyDescent="0.3">
      <c r="A327" t="s">
        <v>30</v>
      </c>
      <c r="B327">
        <v>2022</v>
      </c>
      <c r="C327" t="s">
        <v>31</v>
      </c>
      <c r="D327">
        <f t="shared" si="6"/>
        <v>2</v>
      </c>
      <c r="E327">
        <v>150</v>
      </c>
      <c r="F327">
        <v>200.6</v>
      </c>
      <c r="G327">
        <v>175.8</v>
      </c>
      <c r="H327">
        <v>160.69999999999999</v>
      </c>
      <c r="I327">
        <v>184.9</v>
      </c>
      <c r="J327">
        <v>153.69999999999999</v>
      </c>
      <c r="K327">
        <v>169.7</v>
      </c>
      <c r="L327">
        <v>163.69999999999999</v>
      </c>
      <c r="M327">
        <v>118.9</v>
      </c>
      <c r="N327">
        <v>174.3</v>
      </c>
      <c r="O327">
        <v>164.7</v>
      </c>
      <c r="P327">
        <v>178</v>
      </c>
      <c r="Q327">
        <v>166.2</v>
      </c>
      <c r="R327">
        <v>192.8</v>
      </c>
      <c r="S327">
        <v>170.8</v>
      </c>
      <c r="T327">
        <v>162.4</v>
      </c>
      <c r="U327">
        <v>169.6</v>
      </c>
      <c r="V327">
        <v>165.5</v>
      </c>
      <c r="W327">
        <v>165.7</v>
      </c>
      <c r="X327">
        <v>161.80000000000001</v>
      </c>
      <c r="Y327">
        <v>172.2</v>
      </c>
      <c r="Z327">
        <v>164.4</v>
      </c>
      <c r="AA327">
        <v>165.4</v>
      </c>
      <c r="AB327">
        <v>162.1</v>
      </c>
      <c r="AC327">
        <v>156.9</v>
      </c>
      <c r="AD327">
        <v>163.5</v>
      </c>
      <c r="AE327">
        <v>166.1</v>
      </c>
    </row>
    <row r="328" spans="1:31" x14ac:dyDescent="0.3">
      <c r="A328" t="s">
        <v>29</v>
      </c>
      <c r="B328">
        <v>2022</v>
      </c>
      <c r="C328" t="s">
        <v>31</v>
      </c>
      <c r="D328">
        <f t="shared" si="6"/>
        <v>2</v>
      </c>
      <c r="E328">
        <v>152.5</v>
      </c>
      <c r="F328">
        <v>205.2</v>
      </c>
      <c r="G328">
        <v>176.4</v>
      </c>
      <c r="H328">
        <v>160.6</v>
      </c>
      <c r="I328">
        <v>171.5</v>
      </c>
      <c r="J328">
        <v>156.4</v>
      </c>
      <c r="K328">
        <v>198</v>
      </c>
      <c r="L328">
        <v>163.19999999999999</v>
      </c>
      <c r="M328">
        <v>120.6</v>
      </c>
      <c r="N328">
        <v>172.2</v>
      </c>
      <c r="O328">
        <v>156.69999999999999</v>
      </c>
      <c r="P328">
        <v>180</v>
      </c>
      <c r="Q328">
        <v>170.2</v>
      </c>
      <c r="R328">
        <v>196.5</v>
      </c>
      <c r="S328">
        <v>165.7</v>
      </c>
      <c r="T328">
        <v>150.4</v>
      </c>
      <c r="U328">
        <v>163.4</v>
      </c>
      <c r="V328">
        <v>165.5</v>
      </c>
      <c r="W328">
        <v>163</v>
      </c>
      <c r="X328">
        <v>157.4</v>
      </c>
      <c r="Y328">
        <v>167.2</v>
      </c>
      <c r="Z328">
        <v>164.2</v>
      </c>
      <c r="AA328">
        <v>162</v>
      </c>
      <c r="AB328">
        <v>159.5</v>
      </c>
      <c r="AC328">
        <v>153.1</v>
      </c>
      <c r="AD328">
        <v>159.4</v>
      </c>
      <c r="AE328">
        <v>165.5</v>
      </c>
    </row>
    <row r="329" spans="1:31" x14ac:dyDescent="0.3">
      <c r="A329" t="s">
        <v>27</v>
      </c>
      <c r="B329">
        <v>2022</v>
      </c>
      <c r="C329" t="s">
        <v>32</v>
      </c>
      <c r="D329">
        <f t="shared" si="6"/>
        <v>3</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s="2">
        <f>'Missing values'!V100</f>
        <v>165.3</v>
      </c>
      <c r="W329">
        <v>168.9</v>
      </c>
      <c r="X329">
        <v>166.5</v>
      </c>
      <c r="Y329">
        <v>176</v>
      </c>
      <c r="Z329">
        <v>167.4</v>
      </c>
      <c r="AA329">
        <v>170.6</v>
      </c>
      <c r="AB329">
        <v>166.6</v>
      </c>
      <c r="AC329">
        <v>162</v>
      </c>
      <c r="AD329">
        <v>168.3</v>
      </c>
      <c r="AE329">
        <v>168.7</v>
      </c>
    </row>
    <row r="330" spans="1:31" x14ac:dyDescent="0.3">
      <c r="A330" t="s">
        <v>30</v>
      </c>
      <c r="B330">
        <v>2022</v>
      </c>
      <c r="C330" t="s">
        <v>32</v>
      </c>
      <c r="D330">
        <f t="shared" si="6"/>
        <v>3</v>
      </c>
      <c r="E330">
        <v>151.30000000000001</v>
      </c>
      <c r="F330">
        <v>210.7</v>
      </c>
      <c r="G330">
        <v>167.8</v>
      </c>
      <c r="H330">
        <v>162.19999999999999</v>
      </c>
      <c r="I330">
        <v>194.6</v>
      </c>
      <c r="J330">
        <v>157.6</v>
      </c>
      <c r="K330">
        <v>166.9</v>
      </c>
      <c r="L330">
        <v>163.9</v>
      </c>
      <c r="M330">
        <v>118.8</v>
      </c>
      <c r="N330">
        <v>177.4</v>
      </c>
      <c r="O330">
        <v>165.3</v>
      </c>
      <c r="P330">
        <v>179.3</v>
      </c>
      <c r="Q330">
        <v>168.4</v>
      </c>
      <c r="R330">
        <v>193.7</v>
      </c>
      <c r="S330">
        <v>172.1</v>
      </c>
      <c r="T330">
        <v>164.6</v>
      </c>
      <c r="U330">
        <v>171.1</v>
      </c>
      <c r="V330">
        <v>165.3</v>
      </c>
      <c r="W330">
        <v>167.2</v>
      </c>
      <c r="X330">
        <v>162.80000000000001</v>
      </c>
      <c r="Y330">
        <v>173</v>
      </c>
      <c r="Z330">
        <v>167.2</v>
      </c>
      <c r="AA330">
        <v>166</v>
      </c>
      <c r="AB330">
        <v>163.30000000000001</v>
      </c>
      <c r="AC330">
        <v>157.9</v>
      </c>
      <c r="AD330">
        <v>164.6</v>
      </c>
      <c r="AE330">
        <v>167.7</v>
      </c>
    </row>
    <row r="331" spans="1:31" x14ac:dyDescent="0.3">
      <c r="A331" t="s">
        <v>29</v>
      </c>
      <c r="B331">
        <v>2022</v>
      </c>
      <c r="C331" t="s">
        <v>32</v>
      </c>
      <c r="D331">
        <f t="shared" si="6"/>
        <v>3</v>
      </c>
      <c r="E331">
        <v>153.69999999999999</v>
      </c>
      <c r="F331">
        <v>215.8</v>
      </c>
      <c r="G331">
        <v>167.7</v>
      </c>
      <c r="H331">
        <v>162.6</v>
      </c>
      <c r="I331">
        <v>180</v>
      </c>
      <c r="J331">
        <v>159.6</v>
      </c>
      <c r="K331">
        <v>188.4</v>
      </c>
      <c r="L331">
        <v>163.4</v>
      </c>
      <c r="M331">
        <v>120.3</v>
      </c>
      <c r="N331">
        <v>174.7</v>
      </c>
      <c r="O331">
        <v>157.1</v>
      </c>
      <c r="P331">
        <v>181.5</v>
      </c>
      <c r="Q331">
        <v>171.5</v>
      </c>
      <c r="R331">
        <v>197.5</v>
      </c>
      <c r="S331">
        <v>167.1</v>
      </c>
      <c r="T331">
        <v>152.6</v>
      </c>
      <c r="U331">
        <v>164.9</v>
      </c>
      <c r="V331">
        <v>165.3</v>
      </c>
      <c r="W331">
        <v>164.5</v>
      </c>
      <c r="X331">
        <v>158.6</v>
      </c>
      <c r="Y331">
        <v>168.2</v>
      </c>
      <c r="Z331">
        <v>166.8</v>
      </c>
      <c r="AA331">
        <v>162.69999999999999</v>
      </c>
      <c r="AB331">
        <v>160.80000000000001</v>
      </c>
      <c r="AC331">
        <v>154.19999999999999</v>
      </c>
      <c r="AD331">
        <v>160.6</v>
      </c>
      <c r="AE331">
        <v>166.5</v>
      </c>
    </row>
    <row r="332" spans="1:31" x14ac:dyDescent="0.3">
      <c r="A332" t="s">
        <v>27</v>
      </c>
      <c r="B332">
        <v>2022</v>
      </c>
      <c r="C332" t="s">
        <v>33</v>
      </c>
      <c r="D332">
        <f t="shared" si="6"/>
        <v>4</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s="2">
        <f>'Missing values'!V130</f>
        <v>167</v>
      </c>
      <c r="W332">
        <v>173.3</v>
      </c>
      <c r="X332">
        <v>167.7</v>
      </c>
      <c r="Y332">
        <v>177</v>
      </c>
      <c r="Z332">
        <v>169</v>
      </c>
      <c r="AA332">
        <v>170.9</v>
      </c>
      <c r="AB332">
        <v>167.2</v>
      </c>
      <c r="AC332">
        <v>166.2</v>
      </c>
      <c r="AD332">
        <v>170.2</v>
      </c>
      <c r="AE332">
        <v>170.8</v>
      </c>
    </row>
    <row r="333" spans="1:31" x14ac:dyDescent="0.3">
      <c r="A333" t="s">
        <v>30</v>
      </c>
      <c r="B333">
        <v>2022</v>
      </c>
      <c r="C333" t="s">
        <v>33</v>
      </c>
      <c r="D333">
        <f t="shared" si="6"/>
        <v>4</v>
      </c>
      <c r="E333">
        <v>152.9</v>
      </c>
      <c r="F333">
        <v>211.8</v>
      </c>
      <c r="G333">
        <v>164.5</v>
      </c>
      <c r="H333">
        <v>163.9</v>
      </c>
      <c r="I333">
        <v>199.5</v>
      </c>
      <c r="J333">
        <v>172.6</v>
      </c>
      <c r="K333">
        <v>166.2</v>
      </c>
      <c r="L333">
        <v>164.7</v>
      </c>
      <c r="M333">
        <v>119</v>
      </c>
      <c r="N333">
        <v>181.3</v>
      </c>
      <c r="O333">
        <v>166.2</v>
      </c>
      <c r="P333">
        <v>180.9</v>
      </c>
      <c r="Q333">
        <v>170.8</v>
      </c>
      <c r="R333">
        <v>193.9</v>
      </c>
      <c r="S333">
        <v>173.9</v>
      </c>
      <c r="T333">
        <v>166.5</v>
      </c>
      <c r="U333">
        <v>172.8</v>
      </c>
      <c r="V333">
        <v>167</v>
      </c>
      <c r="W333">
        <v>172.2</v>
      </c>
      <c r="X333">
        <v>164</v>
      </c>
      <c r="Y333">
        <v>174</v>
      </c>
      <c r="Z333">
        <v>168.8</v>
      </c>
      <c r="AA333">
        <v>166.9</v>
      </c>
      <c r="AB333">
        <v>164.4</v>
      </c>
      <c r="AC333">
        <v>162.6</v>
      </c>
      <c r="AD333">
        <v>166.8</v>
      </c>
      <c r="AE333">
        <v>170.1</v>
      </c>
    </row>
    <row r="334" spans="1:31" x14ac:dyDescent="0.3">
      <c r="A334" t="s">
        <v>29</v>
      </c>
      <c r="B334">
        <v>2022</v>
      </c>
      <c r="C334" t="s">
        <v>33</v>
      </c>
      <c r="D334">
        <f t="shared" si="6"/>
        <v>4</v>
      </c>
      <c r="E334">
        <v>155.4</v>
      </c>
      <c r="F334">
        <v>215.8</v>
      </c>
      <c r="G334">
        <v>164.6</v>
      </c>
      <c r="H334">
        <v>164.2</v>
      </c>
      <c r="I334">
        <v>186</v>
      </c>
      <c r="J334">
        <v>175.9</v>
      </c>
      <c r="K334">
        <v>190.7</v>
      </c>
      <c r="L334">
        <v>164</v>
      </c>
      <c r="M334">
        <v>120.5</v>
      </c>
      <c r="N334">
        <v>178</v>
      </c>
      <c r="O334">
        <v>157.5</v>
      </c>
      <c r="P334">
        <v>183.3</v>
      </c>
      <c r="Q334">
        <v>174.5</v>
      </c>
      <c r="R334">
        <v>197.1</v>
      </c>
      <c r="S334">
        <v>168.4</v>
      </c>
      <c r="T334">
        <v>154.5</v>
      </c>
      <c r="U334">
        <v>166.3</v>
      </c>
      <c r="V334">
        <v>167</v>
      </c>
      <c r="W334">
        <v>170.5</v>
      </c>
      <c r="X334">
        <v>159.80000000000001</v>
      </c>
      <c r="Y334">
        <v>169</v>
      </c>
      <c r="Z334">
        <v>168.4</v>
      </c>
      <c r="AA334">
        <v>164</v>
      </c>
      <c r="AB334">
        <v>162.19999999999999</v>
      </c>
      <c r="AC334">
        <v>159.30000000000001</v>
      </c>
      <c r="AD334">
        <v>163.1</v>
      </c>
      <c r="AE334">
        <v>169.2</v>
      </c>
    </row>
    <row r="335" spans="1:31" x14ac:dyDescent="0.3">
      <c r="A335" t="s">
        <v>27</v>
      </c>
      <c r="B335">
        <v>2022</v>
      </c>
      <c r="C335" t="s">
        <v>34</v>
      </c>
      <c r="D335">
        <f t="shared" si="6"/>
        <v>5</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s="2">
        <f>'Missing values'!V163</f>
        <v>167.5</v>
      </c>
      <c r="W335">
        <v>175.3</v>
      </c>
      <c r="X335">
        <v>168.9</v>
      </c>
      <c r="Y335">
        <v>177.7</v>
      </c>
      <c r="Z335">
        <v>168.5</v>
      </c>
      <c r="AA335">
        <v>171.8</v>
      </c>
      <c r="AB335">
        <v>167.6</v>
      </c>
      <c r="AC335">
        <v>167.1</v>
      </c>
      <c r="AD335">
        <v>170.9</v>
      </c>
      <c r="AE335">
        <v>172.5</v>
      </c>
    </row>
    <row r="336" spans="1:31" x14ac:dyDescent="0.3">
      <c r="A336" t="s">
        <v>30</v>
      </c>
      <c r="B336">
        <v>2022</v>
      </c>
      <c r="C336" t="s">
        <v>34</v>
      </c>
      <c r="D336">
        <f t="shared" si="6"/>
        <v>5</v>
      </c>
      <c r="E336">
        <v>154.1</v>
      </c>
      <c r="F336">
        <v>217</v>
      </c>
      <c r="G336">
        <v>162.4</v>
      </c>
      <c r="H336">
        <v>164.9</v>
      </c>
      <c r="I336">
        <v>202.4</v>
      </c>
      <c r="J336">
        <v>171</v>
      </c>
      <c r="K336">
        <v>174.9</v>
      </c>
      <c r="L336">
        <v>164.7</v>
      </c>
      <c r="M336">
        <v>119.7</v>
      </c>
      <c r="N336">
        <v>184.9</v>
      </c>
      <c r="O336">
        <v>167.1</v>
      </c>
      <c r="P336">
        <v>182.5</v>
      </c>
      <c r="Q336">
        <v>173.3</v>
      </c>
      <c r="R336">
        <v>194.1</v>
      </c>
      <c r="S336">
        <v>175.6</v>
      </c>
      <c r="T336">
        <v>168.4</v>
      </c>
      <c r="U336">
        <v>174.6</v>
      </c>
      <c r="V336">
        <v>167.5</v>
      </c>
      <c r="W336">
        <v>174.6</v>
      </c>
      <c r="X336">
        <v>165.2</v>
      </c>
      <c r="Y336">
        <v>174.8</v>
      </c>
      <c r="Z336">
        <v>168.4</v>
      </c>
      <c r="AA336">
        <v>167.9</v>
      </c>
      <c r="AB336">
        <v>165.1</v>
      </c>
      <c r="AC336">
        <v>163</v>
      </c>
      <c r="AD336">
        <v>167.5</v>
      </c>
      <c r="AE336">
        <v>171.7</v>
      </c>
    </row>
    <row r="337" spans="1:31" x14ac:dyDescent="0.3">
      <c r="A337" t="s">
        <v>29</v>
      </c>
      <c r="B337">
        <v>2022</v>
      </c>
      <c r="C337" t="s">
        <v>34</v>
      </c>
      <c r="D337">
        <f t="shared" si="6"/>
        <v>5</v>
      </c>
      <c r="E337">
        <v>156.69999999999999</v>
      </c>
      <c r="F337">
        <v>221.2</v>
      </c>
      <c r="G337">
        <v>164.1</v>
      </c>
      <c r="H337">
        <v>165.4</v>
      </c>
      <c r="I337">
        <v>189.5</v>
      </c>
      <c r="J337">
        <v>174.5</v>
      </c>
      <c r="K337">
        <v>203.2</v>
      </c>
      <c r="L337">
        <v>164.1</v>
      </c>
      <c r="M337">
        <v>121.2</v>
      </c>
      <c r="N337">
        <v>181.4</v>
      </c>
      <c r="O337">
        <v>158.5</v>
      </c>
      <c r="P337">
        <v>184.9</v>
      </c>
      <c r="Q337">
        <v>177.5</v>
      </c>
      <c r="R337">
        <v>197.5</v>
      </c>
      <c r="S337">
        <v>170</v>
      </c>
      <c r="T337">
        <v>155.9</v>
      </c>
      <c r="U337">
        <v>167.8</v>
      </c>
      <c r="V337">
        <v>167.5</v>
      </c>
      <c r="W337">
        <v>173.5</v>
      </c>
      <c r="X337">
        <v>161.1</v>
      </c>
      <c r="Y337">
        <v>170.1</v>
      </c>
      <c r="Z337">
        <v>168.2</v>
      </c>
      <c r="AA337">
        <v>165.2</v>
      </c>
      <c r="AB337">
        <v>163.19999999999999</v>
      </c>
      <c r="AC337">
        <v>159.4</v>
      </c>
      <c r="AD337">
        <v>163.80000000000001</v>
      </c>
      <c r="AE337">
        <v>170.8</v>
      </c>
    </row>
    <row r="338" spans="1:31" x14ac:dyDescent="0.3">
      <c r="A338" t="s">
        <v>27</v>
      </c>
      <c r="B338">
        <v>2022</v>
      </c>
      <c r="C338" t="s">
        <v>35</v>
      </c>
      <c r="D338">
        <f t="shared" si="6"/>
        <v>6</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s="2">
        <f>'Missing values'!V196</f>
        <v>166.8</v>
      </c>
      <c r="W338">
        <v>176.7</v>
      </c>
      <c r="X338">
        <v>170.3</v>
      </c>
      <c r="Y338">
        <v>178.2</v>
      </c>
      <c r="Z338">
        <v>169.5</v>
      </c>
      <c r="AA338">
        <v>172.6</v>
      </c>
      <c r="AB338">
        <v>168</v>
      </c>
      <c r="AC338">
        <v>165.5</v>
      </c>
      <c r="AD338">
        <v>171</v>
      </c>
      <c r="AE338">
        <v>173.6</v>
      </c>
    </row>
    <row r="339" spans="1:31" x14ac:dyDescent="0.3">
      <c r="A339" t="s">
        <v>30</v>
      </c>
      <c r="B339">
        <v>2022</v>
      </c>
      <c r="C339" t="s">
        <v>35</v>
      </c>
      <c r="D339">
        <f t="shared" si="6"/>
        <v>6</v>
      </c>
      <c r="E339">
        <v>155</v>
      </c>
      <c r="F339">
        <v>219.4</v>
      </c>
      <c r="G339">
        <v>170.8</v>
      </c>
      <c r="H339">
        <v>165.8</v>
      </c>
      <c r="I339">
        <v>200.9</v>
      </c>
      <c r="J339">
        <v>169.7</v>
      </c>
      <c r="K339">
        <v>182.3</v>
      </c>
      <c r="L339">
        <v>164.3</v>
      </c>
      <c r="M339">
        <v>119.9</v>
      </c>
      <c r="N339">
        <v>187.1</v>
      </c>
      <c r="O339">
        <v>167.9</v>
      </c>
      <c r="P339">
        <v>183.9</v>
      </c>
      <c r="Q339">
        <v>174.9</v>
      </c>
      <c r="R339">
        <v>194.3</v>
      </c>
      <c r="S339">
        <v>177.1</v>
      </c>
      <c r="T339">
        <v>169.9</v>
      </c>
      <c r="U339">
        <v>176</v>
      </c>
      <c r="V339">
        <v>166.8</v>
      </c>
      <c r="W339">
        <v>176</v>
      </c>
      <c r="X339">
        <v>166.4</v>
      </c>
      <c r="Y339">
        <v>175.4</v>
      </c>
      <c r="Z339">
        <v>169.4</v>
      </c>
      <c r="AA339">
        <v>169</v>
      </c>
      <c r="AB339">
        <v>165.8</v>
      </c>
      <c r="AC339">
        <v>161.1</v>
      </c>
      <c r="AD339">
        <v>167.5</v>
      </c>
      <c r="AE339">
        <v>172.6</v>
      </c>
    </row>
    <row r="340" spans="1:31" x14ac:dyDescent="0.3">
      <c r="A340" t="s">
        <v>29</v>
      </c>
      <c r="B340">
        <v>2022</v>
      </c>
      <c r="C340" t="s">
        <v>36</v>
      </c>
      <c r="D340">
        <f t="shared" si="6"/>
        <v>7</v>
      </c>
      <c r="E340">
        <v>157.5</v>
      </c>
      <c r="F340">
        <v>223.4</v>
      </c>
      <c r="G340">
        <v>172.8</v>
      </c>
      <c r="H340">
        <v>166.4</v>
      </c>
      <c r="I340">
        <v>188.6</v>
      </c>
      <c r="J340">
        <v>174.1</v>
      </c>
      <c r="K340">
        <v>211.5</v>
      </c>
      <c r="L340">
        <v>163.6</v>
      </c>
      <c r="M340">
        <v>121.4</v>
      </c>
      <c r="N340">
        <v>183.5</v>
      </c>
      <c r="O340">
        <v>159.1</v>
      </c>
      <c r="P340">
        <v>186.3</v>
      </c>
      <c r="Q340">
        <v>179.3</v>
      </c>
      <c r="R340">
        <v>198.3</v>
      </c>
      <c r="S340">
        <v>171.6</v>
      </c>
      <c r="T340">
        <v>157.4</v>
      </c>
      <c r="U340">
        <v>169.4</v>
      </c>
      <c r="V340">
        <v>166.8</v>
      </c>
      <c r="W340">
        <v>174.9</v>
      </c>
      <c r="X340">
        <v>162.1</v>
      </c>
      <c r="Y340">
        <v>170.9</v>
      </c>
      <c r="Z340">
        <v>169.2</v>
      </c>
      <c r="AA340">
        <v>166.5</v>
      </c>
      <c r="AB340">
        <v>164.1</v>
      </c>
      <c r="AC340">
        <v>157.19999999999999</v>
      </c>
      <c r="AD340">
        <v>163.80000000000001</v>
      </c>
      <c r="AE340">
        <v>171.4</v>
      </c>
    </row>
    <row r="341" spans="1:31" x14ac:dyDescent="0.3">
      <c r="A341" t="s">
        <v>27</v>
      </c>
      <c r="B341">
        <v>2022</v>
      </c>
      <c r="C341" t="s">
        <v>36</v>
      </c>
      <c r="D341">
        <f t="shared" si="6"/>
        <v>7</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s="2">
        <f>'Missing values'!V226</f>
        <v>167.8</v>
      </c>
      <c r="W341">
        <v>179.6</v>
      </c>
      <c r="X341">
        <v>171.3</v>
      </c>
      <c r="Y341">
        <v>178.8</v>
      </c>
      <c r="Z341">
        <v>169.7</v>
      </c>
      <c r="AA341">
        <v>174.7</v>
      </c>
      <c r="AB341">
        <v>168.6</v>
      </c>
      <c r="AC341">
        <v>166.3</v>
      </c>
      <c r="AD341">
        <v>171.8</v>
      </c>
      <c r="AE341">
        <v>174.3</v>
      </c>
    </row>
    <row r="342" spans="1:31" x14ac:dyDescent="0.3">
      <c r="A342" t="s">
        <v>30</v>
      </c>
      <c r="B342">
        <v>2022</v>
      </c>
      <c r="C342" t="s">
        <v>36</v>
      </c>
      <c r="D342">
        <f t="shared" si="6"/>
        <v>7</v>
      </c>
      <c r="E342">
        <v>156.5</v>
      </c>
      <c r="F342">
        <v>213</v>
      </c>
      <c r="G342">
        <v>175.2</v>
      </c>
      <c r="H342">
        <v>166.6</v>
      </c>
      <c r="I342">
        <v>195.8</v>
      </c>
      <c r="J342">
        <v>174.2</v>
      </c>
      <c r="K342">
        <v>182.1</v>
      </c>
      <c r="L342">
        <v>164.3</v>
      </c>
      <c r="M342">
        <v>120</v>
      </c>
      <c r="N342">
        <v>190</v>
      </c>
      <c r="O342">
        <v>168.4</v>
      </c>
      <c r="P342">
        <v>185.2</v>
      </c>
      <c r="Q342">
        <v>175</v>
      </c>
      <c r="R342">
        <v>194.6</v>
      </c>
      <c r="S342">
        <v>178.3</v>
      </c>
      <c r="T342">
        <v>171.3</v>
      </c>
      <c r="U342">
        <v>177.3</v>
      </c>
      <c r="V342">
        <v>167.8</v>
      </c>
      <c r="W342">
        <v>179.6</v>
      </c>
      <c r="X342">
        <v>167.4</v>
      </c>
      <c r="Y342">
        <v>176.1</v>
      </c>
      <c r="Z342">
        <v>169.7</v>
      </c>
      <c r="AA342">
        <v>171.4</v>
      </c>
      <c r="AB342">
        <v>166.3</v>
      </c>
      <c r="AC342">
        <v>161.6</v>
      </c>
      <c r="AD342">
        <v>168.4</v>
      </c>
      <c r="AE342">
        <v>173.4</v>
      </c>
    </row>
    <row r="343" spans="1:31" x14ac:dyDescent="0.3">
      <c r="A343" t="s">
        <v>29</v>
      </c>
      <c r="B343">
        <v>2022</v>
      </c>
      <c r="C343" t="s">
        <v>37</v>
      </c>
      <c r="D343">
        <f t="shared" si="6"/>
        <v>8</v>
      </c>
      <c r="E343">
        <v>159.30000000000001</v>
      </c>
      <c r="F343">
        <v>217.1</v>
      </c>
      <c r="G343">
        <v>176.6</v>
      </c>
      <c r="H343">
        <v>167.1</v>
      </c>
      <c r="I343">
        <v>184.8</v>
      </c>
      <c r="J343">
        <v>179.5</v>
      </c>
      <c r="K343">
        <v>208.5</v>
      </c>
      <c r="L343">
        <v>164</v>
      </c>
      <c r="M343">
        <v>121.5</v>
      </c>
      <c r="N343">
        <v>186.3</v>
      </c>
      <c r="O343">
        <v>159.80000000000001</v>
      </c>
      <c r="P343">
        <v>187.7</v>
      </c>
      <c r="Q343">
        <v>179.4</v>
      </c>
      <c r="R343">
        <v>198.6</v>
      </c>
      <c r="S343">
        <v>172.7</v>
      </c>
      <c r="T343">
        <v>158.69999999999999</v>
      </c>
      <c r="U343">
        <v>170.6</v>
      </c>
      <c r="V343">
        <v>167.8</v>
      </c>
      <c r="W343">
        <v>179.5</v>
      </c>
      <c r="X343">
        <v>163.1</v>
      </c>
      <c r="Y343">
        <v>171.7</v>
      </c>
      <c r="Z343">
        <v>169.8</v>
      </c>
      <c r="AA343">
        <v>169.1</v>
      </c>
      <c r="AB343">
        <v>164.6</v>
      </c>
      <c r="AC343">
        <v>157.4</v>
      </c>
      <c r="AD343">
        <v>164.7</v>
      </c>
      <c r="AE343">
        <v>172.3</v>
      </c>
    </row>
    <row r="344" spans="1:31" x14ac:dyDescent="0.3">
      <c r="A344" t="s">
        <v>27</v>
      </c>
      <c r="B344">
        <v>2022</v>
      </c>
      <c r="C344" t="s">
        <v>37</v>
      </c>
      <c r="D344">
        <f t="shared" si="6"/>
        <v>8</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s="2">
        <f>'Missing values'!V256</f>
        <v>169</v>
      </c>
      <c r="W344">
        <v>179.1</v>
      </c>
      <c r="X344">
        <v>172.3</v>
      </c>
      <c r="Y344">
        <v>179.4</v>
      </c>
      <c r="Z344">
        <v>171.1</v>
      </c>
      <c r="AA344">
        <v>175.7</v>
      </c>
      <c r="AB344">
        <v>169.3</v>
      </c>
      <c r="AC344">
        <v>166.6</v>
      </c>
      <c r="AD344">
        <v>172.6</v>
      </c>
      <c r="AE344">
        <v>175.3</v>
      </c>
    </row>
    <row r="345" spans="1:31" x14ac:dyDescent="0.3">
      <c r="A345" t="s">
        <v>30</v>
      </c>
      <c r="B345">
        <v>2022</v>
      </c>
      <c r="C345" t="s">
        <v>37</v>
      </c>
      <c r="D345">
        <f t="shared" si="6"/>
        <v>8</v>
      </c>
      <c r="E345">
        <v>160.30000000000001</v>
      </c>
      <c r="F345">
        <v>206.5</v>
      </c>
      <c r="G345">
        <v>169.2</v>
      </c>
      <c r="H345">
        <v>168.1</v>
      </c>
      <c r="I345">
        <v>192.4</v>
      </c>
      <c r="J345">
        <v>172.9</v>
      </c>
      <c r="K345">
        <v>186.7</v>
      </c>
      <c r="L345">
        <v>167.2</v>
      </c>
      <c r="M345">
        <v>120.9</v>
      </c>
      <c r="N345">
        <v>193.6</v>
      </c>
      <c r="O345">
        <v>168.8</v>
      </c>
      <c r="P345">
        <v>186.3</v>
      </c>
      <c r="Q345">
        <v>176.3</v>
      </c>
      <c r="R345">
        <v>195</v>
      </c>
      <c r="S345">
        <v>179.5</v>
      </c>
      <c r="T345">
        <v>172.7</v>
      </c>
      <c r="U345">
        <v>178.5</v>
      </c>
      <c r="V345">
        <v>169</v>
      </c>
      <c r="W345">
        <v>178.8</v>
      </c>
      <c r="X345">
        <v>168.5</v>
      </c>
      <c r="Y345">
        <v>176.8</v>
      </c>
      <c r="Z345">
        <v>171.2</v>
      </c>
      <c r="AA345">
        <v>172.3</v>
      </c>
      <c r="AB345">
        <v>166.9</v>
      </c>
      <c r="AC345">
        <v>161.9</v>
      </c>
      <c r="AD345">
        <v>169.1</v>
      </c>
      <c r="AE345">
        <v>174.3</v>
      </c>
    </row>
    <row r="346" spans="1:31" x14ac:dyDescent="0.3">
      <c r="A346" t="s">
        <v>29</v>
      </c>
      <c r="B346">
        <v>2022</v>
      </c>
      <c r="C346" t="s">
        <v>38</v>
      </c>
      <c r="D346">
        <f t="shared" si="6"/>
        <v>9</v>
      </c>
      <c r="E346">
        <v>162.1</v>
      </c>
      <c r="F346">
        <v>210.9</v>
      </c>
      <c r="G346">
        <v>170.6</v>
      </c>
      <c r="H346">
        <v>168.4</v>
      </c>
      <c r="I346">
        <v>182.5</v>
      </c>
      <c r="J346">
        <v>177.1</v>
      </c>
      <c r="K346">
        <v>213.1</v>
      </c>
      <c r="L346">
        <v>167.3</v>
      </c>
      <c r="M346">
        <v>122.2</v>
      </c>
      <c r="N346">
        <v>189.7</v>
      </c>
      <c r="O346">
        <v>160.5</v>
      </c>
      <c r="P346">
        <v>188.9</v>
      </c>
      <c r="Q346">
        <v>180.4</v>
      </c>
      <c r="R346">
        <v>198.7</v>
      </c>
      <c r="S346">
        <v>173.7</v>
      </c>
      <c r="T346">
        <v>160</v>
      </c>
      <c r="U346">
        <v>171.6</v>
      </c>
      <c r="V346">
        <v>169</v>
      </c>
      <c r="W346">
        <v>178.4</v>
      </c>
      <c r="X346">
        <v>164.2</v>
      </c>
      <c r="Y346">
        <v>172.6</v>
      </c>
      <c r="Z346">
        <v>171.4</v>
      </c>
      <c r="AA346">
        <v>169.9</v>
      </c>
      <c r="AB346">
        <v>165.1</v>
      </c>
      <c r="AC346">
        <v>157.69999999999999</v>
      </c>
      <c r="AD346">
        <v>165.4</v>
      </c>
      <c r="AE346">
        <v>173.1</v>
      </c>
    </row>
    <row r="347" spans="1:31" x14ac:dyDescent="0.3">
      <c r="A347" t="s">
        <v>27</v>
      </c>
      <c r="B347">
        <v>2022</v>
      </c>
      <c r="C347" t="s">
        <v>38</v>
      </c>
      <c r="D347">
        <f t="shared" si="6"/>
        <v>9</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s="2">
        <f>'Missing values'!V286</f>
        <v>169.5</v>
      </c>
      <c r="W347">
        <v>179.7</v>
      </c>
      <c r="X347">
        <v>173.6</v>
      </c>
      <c r="Y347">
        <v>180.2</v>
      </c>
      <c r="Z347">
        <v>170.8</v>
      </c>
      <c r="AA347">
        <v>176.2</v>
      </c>
      <c r="AB347">
        <v>170</v>
      </c>
      <c r="AC347">
        <v>166.9</v>
      </c>
      <c r="AD347">
        <v>173.1</v>
      </c>
      <c r="AE347">
        <v>176.4</v>
      </c>
    </row>
    <row r="348" spans="1:31" x14ac:dyDescent="0.3">
      <c r="A348" t="s">
        <v>30</v>
      </c>
      <c r="B348">
        <v>2022</v>
      </c>
      <c r="C348" t="s">
        <v>38</v>
      </c>
      <c r="D348">
        <f t="shared" si="6"/>
        <v>9</v>
      </c>
      <c r="E348">
        <v>163.5</v>
      </c>
      <c r="F348">
        <v>209.2</v>
      </c>
      <c r="G348">
        <v>169.7</v>
      </c>
      <c r="H348">
        <v>169.7</v>
      </c>
      <c r="I348">
        <v>188.7</v>
      </c>
      <c r="J348">
        <v>165.7</v>
      </c>
      <c r="K348">
        <v>191.8</v>
      </c>
      <c r="L348">
        <v>169.1</v>
      </c>
      <c r="M348">
        <v>121.6</v>
      </c>
      <c r="N348">
        <v>197.3</v>
      </c>
      <c r="O348">
        <v>169.4</v>
      </c>
      <c r="P348">
        <v>187.4</v>
      </c>
      <c r="Q348">
        <v>177.8</v>
      </c>
      <c r="R348">
        <v>195.9</v>
      </c>
      <c r="S348">
        <v>180.9</v>
      </c>
      <c r="T348">
        <v>174.3</v>
      </c>
      <c r="U348">
        <v>179.9</v>
      </c>
      <c r="V348">
        <v>169.5</v>
      </c>
      <c r="W348">
        <v>179.5</v>
      </c>
      <c r="X348">
        <v>169.5</v>
      </c>
      <c r="Y348">
        <v>177.8</v>
      </c>
      <c r="Z348">
        <v>170.9</v>
      </c>
      <c r="AA348">
        <v>173.1</v>
      </c>
      <c r="AB348">
        <v>167.6</v>
      </c>
      <c r="AC348">
        <v>162.30000000000001</v>
      </c>
      <c r="AD348">
        <v>169.7</v>
      </c>
      <c r="AE348">
        <v>175.3</v>
      </c>
    </row>
    <row r="349" spans="1:31" x14ac:dyDescent="0.3">
      <c r="A349" t="s">
        <v>29</v>
      </c>
      <c r="B349">
        <v>2022</v>
      </c>
      <c r="C349" t="s">
        <v>39</v>
      </c>
      <c r="D349">
        <f t="shared" si="6"/>
        <v>10</v>
      </c>
      <c r="E349">
        <v>164.9</v>
      </c>
      <c r="F349">
        <v>213.7</v>
      </c>
      <c r="G349">
        <v>170.9</v>
      </c>
      <c r="H349">
        <v>170.1</v>
      </c>
      <c r="I349">
        <v>179.3</v>
      </c>
      <c r="J349">
        <v>167.5</v>
      </c>
      <c r="K349">
        <v>220.8</v>
      </c>
      <c r="L349">
        <v>169.2</v>
      </c>
      <c r="M349">
        <v>123.1</v>
      </c>
      <c r="N349">
        <v>193.6</v>
      </c>
      <c r="O349">
        <v>161.1</v>
      </c>
      <c r="P349">
        <v>190.4</v>
      </c>
      <c r="Q349">
        <v>181.8</v>
      </c>
      <c r="R349">
        <v>199.7</v>
      </c>
      <c r="S349">
        <v>175</v>
      </c>
      <c r="T349">
        <v>161.69999999999999</v>
      </c>
      <c r="U349">
        <v>173</v>
      </c>
      <c r="V349">
        <v>169.5</v>
      </c>
      <c r="W349">
        <v>179.2</v>
      </c>
      <c r="X349">
        <v>165</v>
      </c>
      <c r="Y349">
        <v>173.8</v>
      </c>
      <c r="Z349">
        <v>171.1</v>
      </c>
      <c r="AA349">
        <v>170.9</v>
      </c>
      <c r="AB349">
        <v>165.8</v>
      </c>
      <c r="AC349">
        <v>158.19999999999999</v>
      </c>
      <c r="AD349">
        <v>166.1</v>
      </c>
      <c r="AE349">
        <v>174.1</v>
      </c>
    </row>
    <row r="350" spans="1:31" x14ac:dyDescent="0.3">
      <c r="A350" t="s">
        <v>27</v>
      </c>
      <c r="B350">
        <v>2022</v>
      </c>
      <c r="C350" t="s">
        <v>39</v>
      </c>
      <c r="D350">
        <f t="shared" si="6"/>
        <v>10</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s="2">
        <f>'Missing values'!V316</f>
        <v>171.2</v>
      </c>
      <c r="W350">
        <v>180.8</v>
      </c>
      <c r="X350">
        <v>174.4</v>
      </c>
      <c r="Y350">
        <v>181.2</v>
      </c>
      <c r="Z350">
        <v>172</v>
      </c>
      <c r="AA350">
        <v>176.5</v>
      </c>
      <c r="AB350">
        <v>170.6</v>
      </c>
      <c r="AC350">
        <v>167.4</v>
      </c>
      <c r="AD350">
        <v>173.9</v>
      </c>
      <c r="AE350">
        <v>177.9</v>
      </c>
    </row>
    <row r="351" spans="1:31" x14ac:dyDescent="0.3">
      <c r="A351" t="s">
        <v>30</v>
      </c>
      <c r="B351">
        <v>2022</v>
      </c>
      <c r="C351" t="s">
        <v>39</v>
      </c>
      <c r="D351">
        <f t="shared" si="6"/>
        <v>10</v>
      </c>
      <c r="E351">
        <v>165.2</v>
      </c>
      <c r="F351">
        <v>210.9</v>
      </c>
      <c r="G351">
        <v>170.9</v>
      </c>
      <c r="H351">
        <v>170.9</v>
      </c>
      <c r="I351">
        <v>186.5</v>
      </c>
      <c r="J351">
        <v>163.80000000000001</v>
      </c>
      <c r="K351">
        <v>199.7</v>
      </c>
      <c r="L351">
        <v>169.8</v>
      </c>
      <c r="M351">
        <v>121.9</v>
      </c>
      <c r="N351">
        <v>199.9</v>
      </c>
      <c r="O351">
        <v>169.9</v>
      </c>
      <c r="P351">
        <v>188.3</v>
      </c>
      <c r="Q351">
        <v>179.6</v>
      </c>
      <c r="R351">
        <v>196.3</v>
      </c>
      <c r="S351">
        <v>181.9</v>
      </c>
      <c r="T351">
        <v>175.3</v>
      </c>
      <c r="U351">
        <v>181</v>
      </c>
      <c r="V351">
        <v>171.2</v>
      </c>
      <c r="W351">
        <v>180.5</v>
      </c>
      <c r="X351">
        <v>170.4</v>
      </c>
      <c r="Y351">
        <v>178.7</v>
      </c>
      <c r="Z351">
        <v>172.1</v>
      </c>
      <c r="AA351">
        <v>173.4</v>
      </c>
      <c r="AB351">
        <v>168.2</v>
      </c>
      <c r="AC351">
        <v>162.9</v>
      </c>
      <c r="AD351">
        <v>170.5</v>
      </c>
      <c r="AE351">
        <v>176.7</v>
      </c>
    </row>
    <row r="352" spans="1:31" x14ac:dyDescent="0.3">
      <c r="A352" t="s">
        <v>29</v>
      </c>
      <c r="B352">
        <v>2022</v>
      </c>
      <c r="C352" t="s">
        <v>41</v>
      </c>
      <c r="D352">
        <f t="shared" si="6"/>
        <v>11</v>
      </c>
      <c r="E352">
        <v>166.4</v>
      </c>
      <c r="F352">
        <v>214.9</v>
      </c>
      <c r="G352">
        <v>171.9</v>
      </c>
      <c r="H352">
        <v>171</v>
      </c>
      <c r="I352">
        <v>177.7</v>
      </c>
      <c r="J352">
        <v>165.7</v>
      </c>
      <c r="K352">
        <v>228.6</v>
      </c>
      <c r="L352">
        <v>169.9</v>
      </c>
      <c r="M352">
        <v>123.4</v>
      </c>
      <c r="N352">
        <v>196.4</v>
      </c>
      <c r="O352">
        <v>161.6</v>
      </c>
      <c r="P352">
        <v>191.5</v>
      </c>
      <c r="Q352">
        <v>183.3</v>
      </c>
      <c r="R352">
        <v>200.1</v>
      </c>
      <c r="S352">
        <v>175.5</v>
      </c>
      <c r="T352">
        <v>162.6</v>
      </c>
      <c r="U352">
        <v>173.6</v>
      </c>
      <c r="V352">
        <v>171.2</v>
      </c>
      <c r="W352">
        <v>180</v>
      </c>
      <c r="X352">
        <v>166</v>
      </c>
      <c r="Y352">
        <v>174.7</v>
      </c>
      <c r="Z352">
        <v>172.3</v>
      </c>
      <c r="AA352">
        <v>171.2</v>
      </c>
      <c r="AB352">
        <v>166.3</v>
      </c>
      <c r="AC352">
        <v>158.80000000000001</v>
      </c>
      <c r="AD352">
        <v>166.8</v>
      </c>
      <c r="AE352">
        <v>175.3</v>
      </c>
    </row>
    <row r="353" spans="1:31" x14ac:dyDescent="0.3">
      <c r="A353" t="s">
        <v>27</v>
      </c>
      <c r="B353">
        <v>2022</v>
      </c>
      <c r="C353" t="s">
        <v>41</v>
      </c>
      <c r="D353">
        <f t="shared" si="6"/>
        <v>11</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s="2">
        <f>'Missing values'!V346</f>
        <v>171.8</v>
      </c>
      <c r="W353">
        <v>181.9</v>
      </c>
      <c r="X353">
        <v>175.5</v>
      </c>
      <c r="Y353">
        <v>182.3</v>
      </c>
      <c r="Z353">
        <v>173.4</v>
      </c>
      <c r="AA353">
        <v>176.9</v>
      </c>
      <c r="AB353">
        <v>170.8</v>
      </c>
      <c r="AC353">
        <v>167.5</v>
      </c>
      <c r="AD353">
        <v>174.6</v>
      </c>
      <c r="AE353">
        <v>177.8</v>
      </c>
    </row>
    <row r="354" spans="1:31" x14ac:dyDescent="0.3">
      <c r="A354" t="s">
        <v>30</v>
      </c>
      <c r="B354">
        <v>2022</v>
      </c>
      <c r="C354" t="s">
        <v>42</v>
      </c>
      <c r="D354">
        <f t="shared" si="6"/>
        <v>12</v>
      </c>
      <c r="E354">
        <v>167.4</v>
      </c>
      <c r="F354">
        <v>209.4</v>
      </c>
      <c r="G354">
        <v>181.4</v>
      </c>
      <c r="H354">
        <v>172.3</v>
      </c>
      <c r="I354">
        <v>188.9</v>
      </c>
      <c r="J354">
        <v>160.69999999999999</v>
      </c>
      <c r="K354">
        <v>183.1</v>
      </c>
      <c r="L354">
        <v>170.5</v>
      </c>
      <c r="M354">
        <v>122.1</v>
      </c>
      <c r="N354">
        <v>202.8</v>
      </c>
      <c r="O354">
        <v>170.4</v>
      </c>
      <c r="P354">
        <v>189.5</v>
      </c>
      <c r="Q354">
        <v>178.3</v>
      </c>
      <c r="R354">
        <v>196.9</v>
      </c>
      <c r="S354">
        <v>183.1</v>
      </c>
      <c r="T354">
        <v>176.2</v>
      </c>
      <c r="U354">
        <v>182.1</v>
      </c>
      <c r="V354">
        <v>171.8</v>
      </c>
      <c r="W354">
        <v>181.3</v>
      </c>
      <c r="X354">
        <v>171.4</v>
      </c>
      <c r="Y354">
        <v>179.8</v>
      </c>
      <c r="Z354">
        <v>173.6</v>
      </c>
      <c r="AA354">
        <v>173.7</v>
      </c>
      <c r="AB354">
        <v>168.5</v>
      </c>
      <c r="AC354">
        <v>163</v>
      </c>
      <c r="AD354">
        <v>171.1</v>
      </c>
      <c r="AE354">
        <v>176.5</v>
      </c>
    </row>
    <row r="355" spans="1:31" x14ac:dyDescent="0.3">
      <c r="A355" t="s">
        <v>29</v>
      </c>
      <c r="B355">
        <v>2022</v>
      </c>
      <c r="C355" t="s">
        <v>42</v>
      </c>
      <c r="D355">
        <f t="shared" si="6"/>
        <v>12</v>
      </c>
      <c r="E355">
        <v>168.4</v>
      </c>
      <c r="F355">
        <v>213.4</v>
      </c>
      <c r="G355">
        <v>183.2</v>
      </c>
      <c r="H355">
        <v>172.3</v>
      </c>
      <c r="I355">
        <v>180</v>
      </c>
      <c r="J355">
        <v>162.6</v>
      </c>
      <c r="K355">
        <v>205.5</v>
      </c>
      <c r="L355">
        <v>171</v>
      </c>
      <c r="M355">
        <v>123.4</v>
      </c>
      <c r="N355">
        <v>198.8</v>
      </c>
      <c r="O355">
        <v>162.1</v>
      </c>
      <c r="P355">
        <v>192.4</v>
      </c>
      <c r="Q355">
        <v>181.3</v>
      </c>
      <c r="R355">
        <v>200.6</v>
      </c>
      <c r="S355">
        <v>176.7</v>
      </c>
      <c r="T355">
        <v>163.5</v>
      </c>
      <c r="U355">
        <v>174.7</v>
      </c>
      <c r="V355">
        <v>171.8</v>
      </c>
      <c r="W355">
        <v>180.3</v>
      </c>
      <c r="X355">
        <v>166.9</v>
      </c>
      <c r="Y355">
        <v>175.8</v>
      </c>
      <c r="Z355">
        <v>173.8</v>
      </c>
      <c r="AA355">
        <v>171.5</v>
      </c>
      <c r="AB355">
        <v>166.7</v>
      </c>
      <c r="AC355">
        <v>158.9</v>
      </c>
      <c r="AD355">
        <v>167.4</v>
      </c>
      <c r="AE355">
        <v>174.1</v>
      </c>
    </row>
    <row r="356" spans="1:31" x14ac:dyDescent="0.3">
      <c r="A356" t="s">
        <v>27</v>
      </c>
      <c r="B356">
        <v>2022</v>
      </c>
      <c r="C356" t="s">
        <v>42</v>
      </c>
      <c r="D356">
        <f t="shared" si="6"/>
        <v>12</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s="2">
        <f>'Missing values'!V376</f>
        <v>170.7</v>
      </c>
      <c r="W356">
        <v>182.8</v>
      </c>
      <c r="X356">
        <v>176.4</v>
      </c>
      <c r="Y356">
        <v>183.5</v>
      </c>
      <c r="Z356">
        <v>175.7</v>
      </c>
      <c r="AA356">
        <v>177.3</v>
      </c>
      <c r="AB356">
        <v>171.2</v>
      </c>
      <c r="AC356">
        <v>167.8</v>
      </c>
      <c r="AD356">
        <v>175.5</v>
      </c>
      <c r="AE356">
        <v>177.1</v>
      </c>
    </row>
    <row r="357" spans="1:31" x14ac:dyDescent="0.3">
      <c r="A357" t="s">
        <v>30</v>
      </c>
      <c r="B357">
        <v>2022</v>
      </c>
      <c r="C357" t="s">
        <v>43</v>
      </c>
      <c r="D357">
        <f t="shared" si="6"/>
        <v>0</v>
      </c>
      <c r="E357">
        <v>169.2</v>
      </c>
      <c r="F357">
        <v>209</v>
      </c>
      <c r="G357">
        <v>190.2</v>
      </c>
      <c r="H357">
        <v>173.6</v>
      </c>
      <c r="I357">
        <v>188.5</v>
      </c>
      <c r="J357">
        <v>158</v>
      </c>
      <c r="K357">
        <v>159.9</v>
      </c>
      <c r="L357">
        <v>170.8</v>
      </c>
      <c r="M357">
        <v>121.8</v>
      </c>
      <c r="N357">
        <v>205.2</v>
      </c>
      <c r="O357">
        <v>171</v>
      </c>
      <c r="P357">
        <v>190.3</v>
      </c>
      <c r="Q357">
        <v>175.9</v>
      </c>
      <c r="R357">
        <v>197.3</v>
      </c>
      <c r="S357">
        <v>184</v>
      </c>
      <c r="T357">
        <v>177</v>
      </c>
      <c r="U357">
        <v>183</v>
      </c>
      <c r="V357">
        <v>170.7</v>
      </c>
      <c r="W357">
        <v>182</v>
      </c>
      <c r="X357">
        <v>172.1</v>
      </c>
      <c r="Y357">
        <v>181.1</v>
      </c>
      <c r="Z357">
        <v>175.8</v>
      </c>
      <c r="AA357">
        <v>174.1</v>
      </c>
      <c r="AB357">
        <v>168.9</v>
      </c>
      <c r="AC357">
        <v>163.4</v>
      </c>
      <c r="AD357">
        <v>172</v>
      </c>
      <c r="AE357">
        <v>175.7</v>
      </c>
    </row>
    <row r="358" spans="1:31" x14ac:dyDescent="0.3">
      <c r="A358" t="s">
        <v>29</v>
      </c>
      <c r="B358">
        <v>2022</v>
      </c>
      <c r="C358" t="s">
        <v>40</v>
      </c>
      <c r="D358">
        <f t="shared" si="6"/>
        <v>0</v>
      </c>
      <c r="E358">
        <v>170.2</v>
      </c>
      <c r="F358">
        <v>212.9</v>
      </c>
      <c r="G358">
        <v>191.9</v>
      </c>
      <c r="H358">
        <v>173.9</v>
      </c>
      <c r="I358">
        <v>179.1</v>
      </c>
      <c r="J358">
        <v>159.5</v>
      </c>
      <c r="K358">
        <v>178.7</v>
      </c>
      <c r="L358">
        <v>171.3</v>
      </c>
      <c r="M358">
        <v>123.1</v>
      </c>
      <c r="N358">
        <v>200.5</v>
      </c>
      <c r="O358">
        <v>162.80000000000001</v>
      </c>
      <c r="P358">
        <v>193.3</v>
      </c>
      <c r="Q358">
        <v>178.6</v>
      </c>
      <c r="R358">
        <v>201.1</v>
      </c>
      <c r="S358">
        <v>177.7</v>
      </c>
      <c r="T358">
        <v>164.5</v>
      </c>
      <c r="U358">
        <v>175.7</v>
      </c>
      <c r="V358">
        <v>170.7</v>
      </c>
      <c r="W358">
        <v>180.6</v>
      </c>
      <c r="X358">
        <v>167.3</v>
      </c>
      <c r="Y358">
        <v>177.2</v>
      </c>
      <c r="Z358">
        <v>176</v>
      </c>
      <c r="AA358">
        <v>171.8</v>
      </c>
      <c r="AB358">
        <v>167.1</v>
      </c>
      <c r="AC358">
        <v>159.4</v>
      </c>
      <c r="AD358">
        <v>168.2</v>
      </c>
      <c r="AE358">
        <v>174.1</v>
      </c>
    </row>
    <row r="359" spans="1:31" x14ac:dyDescent="0.3">
      <c r="A359" t="s">
        <v>27</v>
      </c>
      <c r="B359">
        <v>2023</v>
      </c>
      <c r="C359" t="s">
        <v>28</v>
      </c>
      <c r="D359">
        <f t="shared" si="6"/>
        <v>1</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s="2">
        <f>'Missing values'!V37</f>
        <v>172.1</v>
      </c>
      <c r="W359">
        <v>183.2</v>
      </c>
      <c r="X359">
        <v>177.2</v>
      </c>
      <c r="Y359">
        <v>184.7</v>
      </c>
      <c r="Z359">
        <v>178.4</v>
      </c>
      <c r="AA359">
        <v>177.8</v>
      </c>
      <c r="AB359">
        <v>171.8</v>
      </c>
      <c r="AC359">
        <v>168.2</v>
      </c>
      <c r="AD359">
        <v>176.5</v>
      </c>
      <c r="AE359">
        <v>177.8</v>
      </c>
    </row>
    <row r="360" spans="1:31" x14ac:dyDescent="0.3">
      <c r="A360" t="s">
        <v>30</v>
      </c>
      <c r="B360">
        <v>2023</v>
      </c>
      <c r="C360" t="s">
        <v>28</v>
      </c>
      <c r="D360">
        <f t="shared" si="6"/>
        <v>1</v>
      </c>
      <c r="E360">
        <v>173.8</v>
      </c>
      <c r="F360">
        <v>210.7</v>
      </c>
      <c r="G360">
        <v>194.5</v>
      </c>
      <c r="H360">
        <v>174.6</v>
      </c>
      <c r="I360">
        <v>187.2</v>
      </c>
      <c r="J360">
        <v>158.30000000000001</v>
      </c>
      <c r="K360">
        <v>153.9</v>
      </c>
      <c r="L360">
        <v>170.9</v>
      </c>
      <c r="M360">
        <v>121.1</v>
      </c>
      <c r="N360">
        <v>208.4</v>
      </c>
      <c r="O360">
        <v>171.4</v>
      </c>
      <c r="P360">
        <v>191.2</v>
      </c>
      <c r="Q360">
        <v>176.7</v>
      </c>
      <c r="R360">
        <v>198.2</v>
      </c>
      <c r="S360">
        <v>184.9</v>
      </c>
      <c r="T360">
        <v>177.6</v>
      </c>
      <c r="U360">
        <v>183.8</v>
      </c>
      <c r="V360">
        <v>172.1</v>
      </c>
      <c r="W360">
        <v>182</v>
      </c>
      <c r="X360">
        <v>172.9</v>
      </c>
      <c r="Y360">
        <v>182.3</v>
      </c>
      <c r="Z360">
        <v>178.6</v>
      </c>
      <c r="AA360">
        <v>174.3</v>
      </c>
      <c r="AB360">
        <v>169.5</v>
      </c>
      <c r="AC360">
        <v>163.6</v>
      </c>
      <c r="AD360">
        <v>172.8</v>
      </c>
      <c r="AE360">
        <v>176.5</v>
      </c>
    </row>
    <row r="361" spans="1:31" x14ac:dyDescent="0.3">
      <c r="A361" t="s">
        <v>29</v>
      </c>
      <c r="B361">
        <v>2023</v>
      </c>
      <c r="C361" t="s">
        <v>28</v>
      </c>
      <c r="D361">
        <f t="shared" si="6"/>
        <v>1</v>
      </c>
      <c r="E361">
        <v>173.3</v>
      </c>
      <c r="F361">
        <v>215.2</v>
      </c>
      <c r="G361">
        <v>197</v>
      </c>
      <c r="H361">
        <v>175.2</v>
      </c>
      <c r="I361">
        <v>178</v>
      </c>
      <c r="J361">
        <v>160.5</v>
      </c>
      <c r="K361">
        <v>175.3</v>
      </c>
      <c r="L361">
        <v>171.2</v>
      </c>
      <c r="M361">
        <v>122.7</v>
      </c>
      <c r="N361">
        <v>204.3</v>
      </c>
      <c r="O361">
        <v>163.69999999999999</v>
      </c>
      <c r="P361">
        <v>194.3</v>
      </c>
      <c r="Q361">
        <v>179.5</v>
      </c>
      <c r="R361">
        <v>201.6</v>
      </c>
      <c r="S361">
        <v>178.7</v>
      </c>
      <c r="T361">
        <v>165.3</v>
      </c>
      <c r="U361">
        <v>176.6</v>
      </c>
      <c r="V361">
        <v>172.1</v>
      </c>
      <c r="W361">
        <v>180.1</v>
      </c>
      <c r="X361">
        <v>168</v>
      </c>
      <c r="Y361">
        <v>178.5</v>
      </c>
      <c r="Z361">
        <v>178.8</v>
      </c>
      <c r="AA361">
        <v>171.8</v>
      </c>
      <c r="AB361">
        <v>167.8</v>
      </c>
      <c r="AC361">
        <v>159.5</v>
      </c>
      <c r="AD361">
        <v>168.9</v>
      </c>
      <c r="AE361">
        <v>174.9</v>
      </c>
    </row>
    <row r="362" spans="1:31" x14ac:dyDescent="0.3">
      <c r="A362" t="s">
        <v>27</v>
      </c>
      <c r="B362">
        <v>2023</v>
      </c>
      <c r="C362" t="s">
        <v>31</v>
      </c>
      <c r="D362">
        <f t="shared" si="6"/>
        <v>2</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s="2">
        <f>'Missing values'!V70</f>
        <v>173.5</v>
      </c>
      <c r="W362">
        <v>181.6</v>
      </c>
      <c r="X362">
        <v>178.6</v>
      </c>
      <c r="Y362">
        <v>186.6</v>
      </c>
      <c r="Z362">
        <v>180.7</v>
      </c>
      <c r="AA362">
        <v>178.5</v>
      </c>
      <c r="AB362">
        <v>172.8</v>
      </c>
      <c r="AC362">
        <v>169</v>
      </c>
      <c r="AD362">
        <v>177.9</v>
      </c>
      <c r="AE362">
        <v>178</v>
      </c>
    </row>
    <row r="363" spans="1:31" x14ac:dyDescent="0.3">
      <c r="A363" t="s">
        <v>30</v>
      </c>
      <c r="B363">
        <v>2023</v>
      </c>
      <c r="C363" t="s">
        <v>31</v>
      </c>
      <c r="D363">
        <f t="shared" si="6"/>
        <v>2</v>
      </c>
      <c r="E363">
        <v>174.4</v>
      </c>
      <c r="F363">
        <v>207.7</v>
      </c>
      <c r="G363">
        <v>175.2</v>
      </c>
      <c r="H363">
        <v>177.3</v>
      </c>
      <c r="I363">
        <v>179.3</v>
      </c>
      <c r="J363">
        <v>169.5</v>
      </c>
      <c r="K363">
        <v>152.69999999999999</v>
      </c>
      <c r="L363">
        <v>171</v>
      </c>
      <c r="M363">
        <v>120</v>
      </c>
      <c r="N363">
        <v>209.7</v>
      </c>
      <c r="O363">
        <v>172.3</v>
      </c>
      <c r="P363">
        <v>193</v>
      </c>
      <c r="Q363">
        <v>177</v>
      </c>
      <c r="R363">
        <v>199.5</v>
      </c>
      <c r="S363">
        <v>186.2</v>
      </c>
      <c r="T363">
        <v>178.7</v>
      </c>
      <c r="U363">
        <v>185.1</v>
      </c>
      <c r="V363">
        <v>173.5</v>
      </c>
      <c r="W363">
        <v>182.1</v>
      </c>
      <c r="X363">
        <v>174.2</v>
      </c>
      <c r="Y363">
        <v>184.4</v>
      </c>
      <c r="Z363">
        <v>181</v>
      </c>
      <c r="AA363">
        <v>175</v>
      </c>
      <c r="AB363">
        <v>170.3</v>
      </c>
      <c r="AC363">
        <v>164.2</v>
      </c>
      <c r="AD363">
        <v>174.1</v>
      </c>
      <c r="AE363">
        <v>177.2</v>
      </c>
    </row>
    <row r="364" spans="1:31" x14ac:dyDescent="0.3">
      <c r="A364" t="s">
        <v>29</v>
      </c>
      <c r="B364">
        <v>2023</v>
      </c>
      <c r="C364" t="s">
        <v>31</v>
      </c>
      <c r="D364">
        <f t="shared" si="6"/>
        <v>2</v>
      </c>
      <c r="E364">
        <v>174.7</v>
      </c>
      <c r="F364">
        <v>212.2</v>
      </c>
      <c r="G364">
        <v>177.2</v>
      </c>
      <c r="H364">
        <v>177.9</v>
      </c>
      <c r="I364">
        <v>172.2</v>
      </c>
      <c r="J364">
        <v>172.1</v>
      </c>
      <c r="K364">
        <v>175.8</v>
      </c>
      <c r="L364">
        <v>172.2</v>
      </c>
      <c r="M364">
        <v>121.9</v>
      </c>
      <c r="N364">
        <v>204.8</v>
      </c>
      <c r="O364">
        <v>164.9</v>
      </c>
      <c r="P364">
        <v>196.6</v>
      </c>
      <c r="Q364">
        <v>180.7</v>
      </c>
      <c r="R364">
        <v>202.7</v>
      </c>
      <c r="S364">
        <v>180.3</v>
      </c>
      <c r="T364">
        <v>167</v>
      </c>
      <c r="U364">
        <v>178.2</v>
      </c>
      <c r="V364">
        <v>173.5</v>
      </c>
      <c r="W364">
        <v>182.8</v>
      </c>
      <c r="X364">
        <v>169.2</v>
      </c>
      <c r="Y364">
        <v>180.8</v>
      </c>
      <c r="Z364">
        <v>181.4</v>
      </c>
      <c r="AA364">
        <v>172.5</v>
      </c>
      <c r="AB364">
        <v>168.4</v>
      </c>
      <c r="AC364">
        <v>159.80000000000001</v>
      </c>
      <c r="AD364">
        <v>170</v>
      </c>
      <c r="AE364">
        <v>176.3</v>
      </c>
    </row>
    <row r="365" spans="1:31" x14ac:dyDescent="0.3">
      <c r="A365" t="s">
        <v>27</v>
      </c>
      <c r="B365">
        <v>2023</v>
      </c>
      <c r="C365" t="s">
        <v>32</v>
      </c>
      <c r="D365">
        <f t="shared" si="6"/>
        <v>3</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s="2">
        <f>'Missing values'!V103</f>
        <v>173.5</v>
      </c>
      <c r="W365">
        <v>181.4</v>
      </c>
      <c r="X365">
        <v>178.6</v>
      </c>
      <c r="Y365">
        <v>186.6</v>
      </c>
      <c r="Z365">
        <v>180.7</v>
      </c>
      <c r="AA365">
        <v>178.5</v>
      </c>
      <c r="AB365">
        <v>172.8</v>
      </c>
      <c r="AC365">
        <v>169</v>
      </c>
      <c r="AD365">
        <v>177.9</v>
      </c>
      <c r="AE365">
        <v>178</v>
      </c>
    </row>
    <row r="366" spans="1:31" x14ac:dyDescent="0.3">
      <c r="A366" t="s">
        <v>30</v>
      </c>
      <c r="B366">
        <v>2023</v>
      </c>
      <c r="C366" t="s">
        <v>32</v>
      </c>
      <c r="D366">
        <f t="shared" ref="D366:D373" si="7">IF(C366="January",1,
IF(C366="february",2,
IF(C366="march",3,
IF(C366="april",4,
IF(C366="may",5,
IF(C366="june",6,
IF(C366="july",7,
IF(C366="august",8,
IF(C366="september",9,
IF(C366="october",10,
IF(C366="november",11,
IF(C366="december",12,
))))))))))))</f>
        <v>3</v>
      </c>
      <c r="E366">
        <v>174.4</v>
      </c>
      <c r="F366">
        <v>207.7</v>
      </c>
      <c r="G366">
        <v>175.2</v>
      </c>
      <c r="H366">
        <v>177.3</v>
      </c>
      <c r="I366">
        <v>179.2</v>
      </c>
      <c r="J366">
        <v>169.5</v>
      </c>
      <c r="K366">
        <v>152.80000000000001</v>
      </c>
      <c r="L366">
        <v>171.1</v>
      </c>
      <c r="M366">
        <v>120</v>
      </c>
      <c r="N366">
        <v>209.7</v>
      </c>
      <c r="O366">
        <v>172.3</v>
      </c>
      <c r="P366">
        <v>193</v>
      </c>
      <c r="Q366">
        <v>177</v>
      </c>
      <c r="R366">
        <v>199.5</v>
      </c>
      <c r="S366">
        <v>186.1</v>
      </c>
      <c r="T366">
        <v>178.7</v>
      </c>
      <c r="U366">
        <v>185.1</v>
      </c>
      <c r="V366">
        <v>173.5</v>
      </c>
      <c r="W366">
        <v>181.9</v>
      </c>
      <c r="X366">
        <v>174.2</v>
      </c>
      <c r="Y366">
        <v>184.4</v>
      </c>
      <c r="Z366">
        <v>181</v>
      </c>
      <c r="AA366">
        <v>175</v>
      </c>
      <c r="AB366">
        <v>170.3</v>
      </c>
      <c r="AC366">
        <v>164.2</v>
      </c>
      <c r="AD366">
        <v>174.1</v>
      </c>
      <c r="AE366">
        <v>177.2</v>
      </c>
    </row>
    <row r="367" spans="1:31" x14ac:dyDescent="0.3">
      <c r="A367" t="s">
        <v>29</v>
      </c>
      <c r="B367">
        <v>2023</v>
      </c>
      <c r="C367" t="s">
        <v>33</v>
      </c>
      <c r="D367">
        <f t="shared" si="7"/>
        <v>4</v>
      </c>
      <c r="E367">
        <v>174.7</v>
      </c>
      <c r="F367">
        <v>212.2</v>
      </c>
      <c r="G367">
        <v>177.2</v>
      </c>
      <c r="H367">
        <v>177.9</v>
      </c>
      <c r="I367">
        <v>172.2</v>
      </c>
      <c r="J367">
        <v>172.1</v>
      </c>
      <c r="K367">
        <v>175.9</v>
      </c>
      <c r="L367">
        <v>172.2</v>
      </c>
      <c r="M367">
        <v>121.9</v>
      </c>
      <c r="N367">
        <v>204.8</v>
      </c>
      <c r="O367">
        <v>164.9</v>
      </c>
      <c r="P367">
        <v>196.6</v>
      </c>
      <c r="Q367">
        <v>180.8</v>
      </c>
      <c r="R367">
        <v>202.7</v>
      </c>
      <c r="S367">
        <v>180.2</v>
      </c>
      <c r="T367">
        <v>167</v>
      </c>
      <c r="U367">
        <v>178.2</v>
      </c>
      <c r="V367">
        <v>173.5</v>
      </c>
      <c r="W367">
        <v>182.6</v>
      </c>
      <c r="X367">
        <v>169.2</v>
      </c>
      <c r="Y367">
        <v>180.8</v>
      </c>
      <c r="Z367">
        <v>181.5</v>
      </c>
      <c r="AA367">
        <v>172.5</v>
      </c>
      <c r="AB367">
        <v>168.4</v>
      </c>
      <c r="AC367">
        <v>159.80000000000001</v>
      </c>
      <c r="AD367">
        <v>170</v>
      </c>
      <c r="AE367">
        <v>176.3</v>
      </c>
    </row>
    <row r="368" spans="1:31" x14ac:dyDescent="0.3">
      <c r="A368" t="s">
        <v>27</v>
      </c>
      <c r="B368">
        <v>2023</v>
      </c>
      <c r="C368" t="s">
        <v>33</v>
      </c>
      <c r="D368">
        <f t="shared" si="7"/>
        <v>4</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s="2">
        <f>'Missing values'!V133</f>
        <v>175.2</v>
      </c>
      <c r="W368">
        <v>181.5</v>
      </c>
      <c r="X368">
        <v>179.1</v>
      </c>
      <c r="Y368">
        <v>187.2</v>
      </c>
      <c r="Z368">
        <v>183.8</v>
      </c>
      <c r="AA368">
        <v>179.4</v>
      </c>
      <c r="AB368">
        <v>173.2</v>
      </c>
      <c r="AC368">
        <v>169.4</v>
      </c>
      <c r="AD368">
        <v>178.9</v>
      </c>
      <c r="AE368">
        <v>178.8</v>
      </c>
    </row>
    <row r="369" spans="1:31" x14ac:dyDescent="0.3">
      <c r="A369" t="s">
        <v>30</v>
      </c>
      <c r="B369">
        <v>2023</v>
      </c>
      <c r="C369" t="s">
        <v>33</v>
      </c>
      <c r="D369">
        <f t="shared" si="7"/>
        <v>4</v>
      </c>
      <c r="E369">
        <v>173.8</v>
      </c>
      <c r="F369">
        <v>209.3</v>
      </c>
      <c r="G369">
        <v>169.6</v>
      </c>
      <c r="H369">
        <v>178.4</v>
      </c>
      <c r="I369">
        <v>174.9</v>
      </c>
      <c r="J369">
        <v>176.3</v>
      </c>
      <c r="K369">
        <v>155.4</v>
      </c>
      <c r="L369">
        <v>173.4</v>
      </c>
      <c r="M369">
        <v>121.3</v>
      </c>
      <c r="N369">
        <v>212.9</v>
      </c>
      <c r="O369">
        <v>172.9</v>
      </c>
      <c r="P369">
        <v>193.5</v>
      </c>
      <c r="Q369">
        <v>177.9</v>
      </c>
      <c r="R369">
        <v>200.6</v>
      </c>
      <c r="S369">
        <v>186.9</v>
      </c>
      <c r="T369">
        <v>179.2</v>
      </c>
      <c r="U369">
        <v>185.7</v>
      </c>
      <c r="V369">
        <v>175.2</v>
      </c>
      <c r="W369">
        <v>181.7</v>
      </c>
      <c r="X369">
        <v>174.6</v>
      </c>
      <c r="Y369">
        <v>185</v>
      </c>
      <c r="Z369">
        <v>184</v>
      </c>
      <c r="AA369">
        <v>176.4</v>
      </c>
      <c r="AB369">
        <v>170.7</v>
      </c>
      <c r="AC369">
        <v>164.5</v>
      </c>
      <c r="AD369">
        <v>175</v>
      </c>
      <c r="AE369">
        <v>178.1</v>
      </c>
    </row>
    <row r="370" spans="1:31" x14ac:dyDescent="0.3">
      <c r="A370" t="s">
        <v>29</v>
      </c>
      <c r="B370">
        <v>2023</v>
      </c>
      <c r="C370" t="s">
        <v>34</v>
      </c>
      <c r="D370">
        <f t="shared" si="7"/>
        <v>5</v>
      </c>
      <c r="E370">
        <v>174.8</v>
      </c>
      <c r="F370">
        <v>213.7</v>
      </c>
      <c r="G370">
        <v>172.4</v>
      </c>
      <c r="H370">
        <v>178.8</v>
      </c>
      <c r="I370">
        <v>168.7</v>
      </c>
      <c r="J370">
        <v>179.2</v>
      </c>
      <c r="K370">
        <v>179.9</v>
      </c>
      <c r="L370">
        <v>174.7</v>
      </c>
      <c r="M370">
        <v>123.1</v>
      </c>
      <c r="N370">
        <v>207.8</v>
      </c>
      <c r="O370">
        <v>165.5</v>
      </c>
      <c r="P370">
        <v>197</v>
      </c>
      <c r="Q370">
        <v>182.1</v>
      </c>
      <c r="R370">
        <v>203.5</v>
      </c>
      <c r="S370">
        <v>181</v>
      </c>
      <c r="T370">
        <v>167.7</v>
      </c>
      <c r="U370">
        <v>178.9</v>
      </c>
      <c r="V370">
        <v>175.2</v>
      </c>
      <c r="W370">
        <v>182.1</v>
      </c>
      <c r="X370">
        <v>169.6</v>
      </c>
      <c r="Y370">
        <v>181.5</v>
      </c>
      <c r="Z370">
        <v>184.4</v>
      </c>
      <c r="AA370">
        <v>174.2</v>
      </c>
      <c r="AB370">
        <v>168.8</v>
      </c>
      <c r="AC370">
        <v>160.1</v>
      </c>
      <c r="AD370">
        <v>170.9</v>
      </c>
      <c r="AE370">
        <v>177.4</v>
      </c>
    </row>
    <row r="371" spans="1:31" x14ac:dyDescent="0.3">
      <c r="A371" t="s">
        <v>27</v>
      </c>
      <c r="B371">
        <v>2023</v>
      </c>
      <c r="C371" t="s">
        <v>34</v>
      </c>
      <c r="D371">
        <f t="shared" si="7"/>
        <v>5</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s="2">
        <f>'Missing values'!V166</f>
        <v>175.6</v>
      </c>
      <c r="W371">
        <v>182.5</v>
      </c>
      <c r="X371">
        <v>179.8</v>
      </c>
      <c r="Y371">
        <v>187.8</v>
      </c>
      <c r="Z371">
        <v>184.9</v>
      </c>
      <c r="AA371">
        <v>180.3</v>
      </c>
      <c r="AB371">
        <v>173.8</v>
      </c>
      <c r="AC371">
        <v>169.7</v>
      </c>
      <c r="AD371">
        <v>179.5</v>
      </c>
      <c r="AE371">
        <v>179.8</v>
      </c>
    </row>
    <row r="372" spans="1:31" x14ac:dyDescent="0.3">
      <c r="A372" t="s">
        <v>30</v>
      </c>
      <c r="B372">
        <v>2023</v>
      </c>
      <c r="C372" t="s">
        <v>34</v>
      </c>
      <c r="D372">
        <f t="shared" si="7"/>
        <v>5</v>
      </c>
      <c r="E372">
        <v>173.7</v>
      </c>
      <c r="F372">
        <v>214.3</v>
      </c>
      <c r="G372">
        <v>173.2</v>
      </c>
      <c r="H372">
        <v>179.5</v>
      </c>
      <c r="I372">
        <v>170</v>
      </c>
      <c r="J372">
        <v>172.2</v>
      </c>
      <c r="K372">
        <v>161</v>
      </c>
      <c r="L372">
        <v>175.6</v>
      </c>
      <c r="M372">
        <v>122.7</v>
      </c>
      <c r="N372">
        <v>218</v>
      </c>
      <c r="O372">
        <v>173.4</v>
      </c>
      <c r="P372">
        <v>194.2</v>
      </c>
      <c r="Q372">
        <v>179.1</v>
      </c>
      <c r="R372">
        <v>201</v>
      </c>
      <c r="S372">
        <v>187.3</v>
      </c>
      <c r="T372">
        <v>179.7</v>
      </c>
      <c r="U372">
        <v>186.2</v>
      </c>
      <c r="V372">
        <v>175.6</v>
      </c>
      <c r="W372">
        <v>182.8</v>
      </c>
      <c r="X372">
        <v>175.2</v>
      </c>
      <c r="Y372">
        <v>185.7</v>
      </c>
      <c r="Z372">
        <v>185.2</v>
      </c>
      <c r="AA372">
        <v>177.1</v>
      </c>
      <c r="AB372">
        <v>171.2</v>
      </c>
      <c r="AC372">
        <v>164.8</v>
      </c>
      <c r="AD372">
        <v>175.7</v>
      </c>
      <c r="AE372">
        <v>179.1</v>
      </c>
    </row>
    <row r="373" spans="1:31" x14ac:dyDescent="0.3">
      <c r="A373" t="s">
        <v>29</v>
      </c>
      <c r="B373">
        <v>2023</v>
      </c>
      <c r="C373" t="s">
        <v>35</v>
      </c>
      <c r="D373">
        <f t="shared" si="7"/>
        <v>6</v>
      </c>
      <c r="E373">
        <v>174.7</v>
      </c>
      <c r="F373">
        <v>219.4</v>
      </c>
      <c r="G373">
        <v>176.7</v>
      </c>
      <c r="H373">
        <v>179.4</v>
      </c>
      <c r="I373">
        <v>164.4</v>
      </c>
      <c r="J373">
        <v>175.8</v>
      </c>
      <c r="K373">
        <v>185</v>
      </c>
      <c r="L373">
        <v>176.9</v>
      </c>
      <c r="M373">
        <v>124.2</v>
      </c>
      <c r="N373">
        <v>211.9</v>
      </c>
      <c r="O373">
        <v>165.9</v>
      </c>
      <c r="P373">
        <v>197.7</v>
      </c>
      <c r="Q373">
        <v>183.1</v>
      </c>
      <c r="R373">
        <v>204.2</v>
      </c>
      <c r="S373">
        <v>181.3</v>
      </c>
      <c r="T373">
        <v>168.1</v>
      </c>
      <c r="U373">
        <v>179.3</v>
      </c>
      <c r="V373">
        <v>175.6</v>
      </c>
      <c r="W373">
        <v>183.4</v>
      </c>
      <c r="X373">
        <v>170.1</v>
      </c>
      <c r="Y373">
        <v>182.2</v>
      </c>
      <c r="Z373">
        <v>185.6</v>
      </c>
      <c r="AA373">
        <v>174.8</v>
      </c>
      <c r="AB373">
        <v>169.2</v>
      </c>
      <c r="AC373">
        <v>160.4</v>
      </c>
      <c r="AD373">
        <v>171.6</v>
      </c>
      <c r="AE373">
        <v>178.2</v>
      </c>
    </row>
  </sheetData>
  <conditionalFormatting sqref="A1:AE373">
    <cfRule type="containsText" dxfId="55" priority="4" operator="containsText" text="&quot;blanks&quot;">
      <formula>NOT(ISERROR(SEARCH("""blanks""",A1)))</formula>
    </cfRule>
  </conditionalFormatting>
  <conditionalFormatting sqref="AH261:AH262">
    <cfRule type="containsText" dxfId="54" priority="3" operator="containsText" text="&quot;blanks&quot;">
      <formula>NOT(ISERROR(SEARCH("""blanks""",AH261)))</formula>
    </cfRule>
  </conditionalFormatting>
  <conditionalFormatting sqref="AI264:AI265">
    <cfRule type="containsText" dxfId="53" priority="2" operator="containsText" text="&quot;blanks&quot;">
      <formula>NOT(ISERROR(SEARCH("""blanks""",AI264)))</formula>
    </cfRule>
  </conditionalFormatting>
  <conditionalFormatting sqref="AI270">
    <cfRule type="containsText" dxfId="52" priority="1" operator="containsText" text="&quot;blanks&quot;">
      <formula>NOT(ISERROR(SEARCH("""blanks""",AI270)))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6EC3-6D9C-4D73-80AC-9D02025BB369}">
  <sheetPr filterMode="1"/>
  <dimension ref="A1:AE376"/>
  <sheetViews>
    <sheetView workbookViewId="0">
      <selection activeCell="F1" sqref="F1"/>
    </sheetView>
  </sheetViews>
  <sheetFormatPr defaultRowHeight="14.4" x14ac:dyDescent="0.3"/>
  <sheetData>
    <row r="1" spans="1:31" x14ac:dyDescent="0.3">
      <c r="A1" s="1" t="s">
        <v>0</v>
      </c>
      <c r="B1" s="1" t="s">
        <v>1</v>
      </c>
      <c r="C1" s="1" t="s">
        <v>2</v>
      </c>
      <c r="D1" s="1" t="s">
        <v>44</v>
      </c>
      <c r="E1" s="1" t="s">
        <v>3</v>
      </c>
      <c r="F1" s="1" t="s">
        <v>4</v>
      </c>
      <c r="G1" s="1" t="s">
        <v>5</v>
      </c>
      <c r="H1" s="1" t="s">
        <v>6</v>
      </c>
      <c r="I1" s="1" t="s">
        <v>7</v>
      </c>
      <c r="J1" s="1" t="s">
        <v>8</v>
      </c>
      <c r="K1" s="1" t="s">
        <v>9</v>
      </c>
      <c r="L1" s="1" t="s">
        <v>10</v>
      </c>
      <c r="M1" s="1" t="s">
        <v>11</v>
      </c>
      <c r="N1" s="1" t="s">
        <v>12</v>
      </c>
      <c r="O1" s="1" t="s">
        <v>47</v>
      </c>
      <c r="P1" s="1" t="s">
        <v>45</v>
      </c>
      <c r="Q1" s="1" t="s">
        <v>13</v>
      </c>
      <c r="R1" s="1" t="s">
        <v>14</v>
      </c>
      <c r="S1" s="1" t="s">
        <v>15</v>
      </c>
      <c r="T1" s="1" t="s">
        <v>16</v>
      </c>
      <c r="U1" s="1" t="s">
        <v>17</v>
      </c>
      <c r="V1" s="1" t="s">
        <v>18</v>
      </c>
      <c r="W1" s="1" t="s">
        <v>19</v>
      </c>
      <c r="X1" s="1" t="s">
        <v>20</v>
      </c>
      <c r="Y1" s="1" t="s">
        <v>21</v>
      </c>
      <c r="Z1" s="1" t="s">
        <v>22</v>
      </c>
      <c r="AA1" s="1" t="s">
        <v>23</v>
      </c>
      <c r="AB1" s="1" t="s">
        <v>24</v>
      </c>
      <c r="AC1" s="1" t="s">
        <v>46</v>
      </c>
      <c r="AD1" s="1" t="s">
        <v>25</v>
      </c>
      <c r="AE1" s="1" t="s">
        <v>26</v>
      </c>
    </row>
    <row r="2" spans="1:31" x14ac:dyDescent="0.3">
      <c r="A2">
        <f>COUNTBLANK('All_India_Index_Upto_April23 (1'!A2:A373)</f>
        <v>0</v>
      </c>
      <c r="B2">
        <f>COUNTBLANK('All_India_Index_Upto_April23 (1'!B2:B373)</f>
        <v>0</v>
      </c>
      <c r="C2">
        <f>COUNTBLANK('All_India_Index_Upto_April23 (1'!C2:C373)</f>
        <v>0</v>
      </c>
      <c r="D2">
        <f>COUNTBLANK('All_India_Index_Upto_April23 (1'!D2:D373)</f>
        <v>0</v>
      </c>
      <c r="E2">
        <f>COUNTBLANK('All_India_Index_Upto_April23 (1'!E2:E373)</f>
        <v>3</v>
      </c>
      <c r="F2">
        <f>COUNTBLANK('All_India_Index_Upto_April23 (1'!F2:F373)</f>
        <v>6</v>
      </c>
      <c r="G2">
        <f>COUNTBLANK('All_India_Index_Upto_April23 (1'!G2:G373)</f>
        <v>3</v>
      </c>
      <c r="H2">
        <f>COUNTBLANK('All_India_Index_Upto_April23 (1'!H2:H373)</f>
        <v>3</v>
      </c>
      <c r="I2">
        <f>COUNTBLANK('All_India_Index_Upto_April23 (1'!I2:I373)</f>
        <v>3</v>
      </c>
      <c r="J2">
        <f>COUNTBLANK('All_India_Index_Upto_April23 (1'!J2:J373)</f>
        <v>3</v>
      </c>
      <c r="K2">
        <f>COUNTBLANK('All_India_Index_Upto_April23 (1'!K2:K373)</f>
        <v>3</v>
      </c>
      <c r="L2">
        <f>COUNTBLANK('All_India_Index_Upto_April23 (1'!L2:L373)</f>
        <v>3</v>
      </c>
      <c r="M2">
        <f>COUNTBLANK('All_India_Index_Upto_April23 (1'!M2:M373)</f>
        <v>3</v>
      </c>
      <c r="N2">
        <f>COUNTBLANK('All_India_Index_Upto_April23 (1'!N2:N373)</f>
        <v>3</v>
      </c>
      <c r="O2">
        <f>COUNTBLANK('All_India_Index_Upto_April23 (1'!O2:O373)</f>
        <v>3</v>
      </c>
      <c r="P2">
        <f>COUNTBLANK('All_India_Index_Upto_April23 (1'!P2:P373)</f>
        <v>6</v>
      </c>
      <c r="Q2">
        <f>COUNTBLANK('All_India_Index_Upto_April23 (1'!Q2:Q373)</f>
        <v>3</v>
      </c>
      <c r="R2">
        <f>COUNTBLANK('All_India_Index_Upto_April23 (1'!R2:R373)</f>
        <v>6</v>
      </c>
      <c r="S2">
        <f>COUNTBLANK('All_India_Index_Upto_April23 (1'!S2:S373)</f>
        <v>6</v>
      </c>
      <c r="T2">
        <f>COUNTBLANK('All_India_Index_Upto_April23 (1'!T2:T373)</f>
        <v>6</v>
      </c>
      <c r="U2">
        <f>COUNTBLANK('All_India_Index_Upto_April23 (1'!U2:U373)</f>
        <v>6</v>
      </c>
      <c r="V2">
        <f>COUNTBLANK('All_India_Index_Upto_April23 (1'!V2:V373)</f>
        <v>3</v>
      </c>
      <c r="W2">
        <f>COUNTBLANK('All_India_Index_Upto_April23 (1'!W2:W373)</f>
        <v>3</v>
      </c>
      <c r="X2">
        <f>COUNTBLANK('All_India_Index_Upto_April23 (1'!X2:X373)</f>
        <v>6</v>
      </c>
      <c r="Y2">
        <f>COUNTBLANK('All_India_Index_Upto_April23 (1'!Y2:Y373)</f>
        <v>3</v>
      </c>
      <c r="Z2">
        <f>COUNTBLANK('All_India_Index_Upto_April23 (1'!AC2:AC373)</f>
        <v>6</v>
      </c>
      <c r="AA2">
        <f>COUNTBLANK('All_India_Index_Upto_April23 (1'!AB2:AB373)</f>
        <v>6</v>
      </c>
      <c r="AB2">
        <f>COUNTBLANK('All_India_Index_Upto_April23 (1'!AA2:AA373)</f>
        <v>6</v>
      </c>
      <c r="AC2">
        <f>COUNTBLANK('All_India_Index_Upto_April23 (1'!Z2:Z373)</f>
        <v>6</v>
      </c>
      <c r="AD2">
        <f>COUNTBLANK('All_India_Index_Upto_April23 (1'!AD2:AD373)</f>
        <v>6</v>
      </c>
      <c r="AE2">
        <f>COUNTBLANK('All_India_Index_Upto_April23 (1'!AE2:AE373)</f>
        <v>4</v>
      </c>
    </row>
    <row r="4" spans="1:31" x14ac:dyDescent="0.3">
      <c r="U4" s="1" t="s">
        <v>0</v>
      </c>
      <c r="V4" s="1" t="s">
        <v>18</v>
      </c>
    </row>
    <row r="5" spans="1:31" hidden="1" x14ac:dyDescent="0.3">
      <c r="E5" s="1"/>
      <c r="U5" t="s">
        <v>27</v>
      </c>
    </row>
    <row r="6" spans="1:31" hidden="1" x14ac:dyDescent="0.3">
      <c r="U6" t="s">
        <v>30</v>
      </c>
      <c r="V6">
        <v>100.3</v>
      </c>
    </row>
    <row r="7" spans="1:31" x14ac:dyDescent="0.3">
      <c r="U7" t="s">
        <v>29</v>
      </c>
      <c r="V7">
        <v>100.3</v>
      </c>
    </row>
    <row r="8" spans="1:31" hidden="1" x14ac:dyDescent="0.3">
      <c r="R8">
        <v>111.6</v>
      </c>
      <c r="U8" t="s">
        <v>27</v>
      </c>
    </row>
    <row r="9" spans="1:31" hidden="1" x14ac:dyDescent="0.3">
      <c r="R9">
        <v>117.3</v>
      </c>
      <c r="U9" t="s">
        <v>30</v>
      </c>
      <c r="V9">
        <v>111.6</v>
      </c>
    </row>
    <row r="10" spans="1:31" x14ac:dyDescent="0.3">
      <c r="U10" t="s">
        <v>29</v>
      </c>
      <c r="V10">
        <v>111.6</v>
      </c>
    </row>
    <row r="11" spans="1:31" hidden="1" x14ac:dyDescent="0.3">
      <c r="R11">
        <v>129.6</v>
      </c>
      <c r="U11" t="s">
        <v>27</v>
      </c>
    </row>
    <row r="12" spans="1:31" hidden="1" x14ac:dyDescent="0.3">
      <c r="R12">
        <v>140.4</v>
      </c>
      <c r="U12" t="s">
        <v>30</v>
      </c>
      <c r="V12">
        <v>117.3</v>
      </c>
    </row>
    <row r="13" spans="1:31" x14ac:dyDescent="0.3">
      <c r="U13" t="s">
        <v>29</v>
      </c>
      <c r="V13">
        <v>117.3</v>
      </c>
    </row>
    <row r="14" spans="1:31" hidden="1" x14ac:dyDescent="0.3">
      <c r="R14">
        <v>153.9</v>
      </c>
      <c r="U14" t="s">
        <v>27</v>
      </c>
    </row>
    <row r="15" spans="1:31" hidden="1" x14ac:dyDescent="0.3">
      <c r="R15">
        <v>157.69999999999999</v>
      </c>
      <c r="U15" t="s">
        <v>30</v>
      </c>
      <c r="V15">
        <v>123.4</v>
      </c>
    </row>
    <row r="16" spans="1:31" x14ac:dyDescent="0.3">
      <c r="U16" t="s">
        <v>29</v>
      </c>
      <c r="V16">
        <v>123.4</v>
      </c>
    </row>
    <row r="17" spans="18:22" hidden="1" x14ac:dyDescent="0.3">
      <c r="R17">
        <v>172.1</v>
      </c>
      <c r="U17" t="s">
        <v>27</v>
      </c>
    </row>
    <row r="18" spans="18:22" hidden="1" x14ac:dyDescent="0.3">
      <c r="R18">
        <v>100.4</v>
      </c>
      <c r="U18" t="s">
        <v>30</v>
      </c>
      <c r="V18">
        <v>129.6</v>
      </c>
    </row>
    <row r="19" spans="18:22" x14ac:dyDescent="0.3">
      <c r="U19" t="s">
        <v>29</v>
      </c>
      <c r="V19">
        <v>129.6</v>
      </c>
    </row>
    <row r="20" spans="18:22" hidden="1" x14ac:dyDescent="0.3">
      <c r="R20">
        <v>118.1</v>
      </c>
      <c r="U20" t="s">
        <v>27</v>
      </c>
    </row>
    <row r="21" spans="18:22" hidden="1" x14ac:dyDescent="0.3">
      <c r="R21">
        <v>124.4</v>
      </c>
      <c r="U21" t="s">
        <v>30</v>
      </c>
      <c r="V21">
        <v>140.4</v>
      </c>
    </row>
    <row r="22" spans="18:22" x14ac:dyDescent="0.3">
      <c r="U22" t="s">
        <v>29</v>
      </c>
      <c r="V22">
        <v>140.4</v>
      </c>
    </row>
    <row r="23" spans="18:22" hidden="1" x14ac:dyDescent="0.3">
      <c r="R23">
        <v>141.30000000000001</v>
      </c>
      <c r="U23" t="s">
        <v>27</v>
      </c>
    </row>
    <row r="24" spans="18:22" hidden="1" x14ac:dyDescent="0.3">
      <c r="R24">
        <v>148.5</v>
      </c>
      <c r="U24" t="s">
        <v>30</v>
      </c>
      <c r="V24">
        <v>147.69999999999999</v>
      </c>
    </row>
    <row r="25" spans="18:22" x14ac:dyDescent="0.3">
      <c r="U25" t="s">
        <v>29</v>
      </c>
      <c r="V25">
        <v>147.69999999999999</v>
      </c>
    </row>
    <row r="26" spans="18:22" hidden="1" x14ac:dyDescent="0.3">
      <c r="R26">
        <v>159.80000000000001</v>
      </c>
      <c r="U26" t="s">
        <v>27</v>
      </c>
    </row>
    <row r="27" spans="18:22" hidden="1" x14ac:dyDescent="0.3">
      <c r="R27">
        <v>165.5</v>
      </c>
      <c r="U27" t="s">
        <v>30</v>
      </c>
      <c r="V27">
        <v>153.9</v>
      </c>
    </row>
    <row r="28" spans="18:22" x14ac:dyDescent="0.3">
      <c r="U28" t="s">
        <v>29</v>
      </c>
      <c r="V28">
        <v>153.9</v>
      </c>
    </row>
    <row r="29" spans="18:22" hidden="1" x14ac:dyDescent="0.3">
      <c r="R29">
        <v>100.4</v>
      </c>
      <c r="U29" t="s">
        <v>27</v>
      </c>
    </row>
    <row r="30" spans="18:22" hidden="1" x14ac:dyDescent="0.3">
      <c r="R30">
        <v>113.2</v>
      </c>
      <c r="U30" t="s">
        <v>30</v>
      </c>
      <c r="V30">
        <v>157.69999999999999</v>
      </c>
    </row>
    <row r="31" spans="18:22" x14ac:dyDescent="0.3">
      <c r="U31" t="s">
        <v>29</v>
      </c>
      <c r="V31">
        <v>157.69999999999999</v>
      </c>
    </row>
    <row r="32" spans="18:22" hidden="1" x14ac:dyDescent="0.3">
      <c r="R32">
        <v>124.9</v>
      </c>
      <c r="U32" t="s">
        <v>27</v>
      </c>
    </row>
    <row r="33" spans="18:22" hidden="1" x14ac:dyDescent="0.3">
      <c r="R33">
        <v>131.1</v>
      </c>
      <c r="U33" t="s">
        <v>30</v>
      </c>
      <c r="V33">
        <v>164.5</v>
      </c>
    </row>
    <row r="34" spans="18:22" x14ac:dyDescent="0.3">
      <c r="U34" t="s">
        <v>29</v>
      </c>
      <c r="V34">
        <v>164.5</v>
      </c>
    </row>
    <row r="35" spans="18:22" hidden="1" x14ac:dyDescent="0.3">
      <c r="R35">
        <v>149</v>
      </c>
      <c r="U35" t="s">
        <v>27</v>
      </c>
    </row>
    <row r="36" spans="18:22" hidden="1" x14ac:dyDescent="0.3">
      <c r="R36">
        <v>154.5</v>
      </c>
      <c r="U36" t="s">
        <v>30</v>
      </c>
      <c r="V36">
        <v>172.1</v>
      </c>
    </row>
    <row r="37" spans="18:22" x14ac:dyDescent="0.3">
      <c r="U37" t="s">
        <v>29</v>
      </c>
      <c r="V37">
        <v>172.1</v>
      </c>
    </row>
    <row r="38" spans="18:22" hidden="1" x14ac:dyDescent="0.3">
      <c r="R38">
        <v>165.3</v>
      </c>
      <c r="U38" t="s">
        <v>27</v>
      </c>
    </row>
    <row r="39" spans="18:22" hidden="1" x14ac:dyDescent="0.3">
      <c r="R39">
        <v>173.5</v>
      </c>
      <c r="U39" t="s">
        <v>30</v>
      </c>
      <c r="V39">
        <v>100.4</v>
      </c>
    </row>
    <row r="40" spans="18:22" x14ac:dyDescent="0.3">
      <c r="U40" t="s">
        <v>29</v>
      </c>
      <c r="V40">
        <v>100.4</v>
      </c>
    </row>
    <row r="41" spans="18:22" hidden="1" x14ac:dyDescent="0.3">
      <c r="R41">
        <v>113.9</v>
      </c>
      <c r="U41" t="s">
        <v>27</v>
      </c>
    </row>
    <row r="42" spans="18:22" hidden="1" x14ac:dyDescent="0.3">
      <c r="R42">
        <v>119.2</v>
      </c>
      <c r="U42" t="s">
        <v>30</v>
      </c>
      <c r="V42">
        <v>112.5</v>
      </c>
    </row>
    <row r="43" spans="18:22" x14ac:dyDescent="0.3">
      <c r="U43" t="s">
        <v>29</v>
      </c>
      <c r="V43">
        <v>112.5</v>
      </c>
    </row>
    <row r="44" spans="18:22" hidden="1" x14ac:dyDescent="0.3">
      <c r="R44">
        <v>131.69999999999999</v>
      </c>
      <c r="U44" t="s">
        <v>27</v>
      </c>
    </row>
    <row r="45" spans="18:22" hidden="1" x14ac:dyDescent="0.3">
      <c r="R45">
        <v>142.9</v>
      </c>
      <c r="U45" t="s">
        <v>30</v>
      </c>
      <c r="V45">
        <v>118.1</v>
      </c>
    </row>
    <row r="46" spans="18:22" x14ac:dyDescent="0.3">
      <c r="U46" t="s">
        <v>29</v>
      </c>
      <c r="V46">
        <v>118.1</v>
      </c>
    </row>
    <row r="47" spans="18:22" hidden="1" x14ac:dyDescent="0.3">
      <c r="R47">
        <v>161.4</v>
      </c>
      <c r="U47" t="s">
        <v>27</v>
      </c>
    </row>
    <row r="48" spans="18:22" hidden="1" x14ac:dyDescent="0.3">
      <c r="R48">
        <v>167</v>
      </c>
      <c r="U48" t="s">
        <v>30</v>
      </c>
      <c r="V48">
        <v>124.4</v>
      </c>
    </row>
    <row r="49" spans="18:22" x14ac:dyDescent="0.3">
      <c r="U49" t="s">
        <v>29</v>
      </c>
      <c r="V49">
        <v>124.4</v>
      </c>
    </row>
    <row r="50" spans="18:22" hidden="1" x14ac:dyDescent="0.3">
      <c r="R50">
        <v>100.5</v>
      </c>
      <c r="U50" t="s">
        <v>27</v>
      </c>
    </row>
    <row r="51" spans="18:22" hidden="1" x14ac:dyDescent="0.3">
      <c r="R51">
        <v>114.3</v>
      </c>
      <c r="U51" t="s">
        <v>30</v>
      </c>
      <c r="V51">
        <v>130.5</v>
      </c>
    </row>
    <row r="52" spans="18:22" x14ac:dyDescent="0.3">
      <c r="U52" t="s">
        <v>29</v>
      </c>
      <c r="V52">
        <v>130.5</v>
      </c>
    </row>
    <row r="53" spans="18:22" hidden="1" x14ac:dyDescent="0.3">
      <c r="R53">
        <v>126</v>
      </c>
      <c r="U53" t="s">
        <v>27</v>
      </c>
    </row>
    <row r="54" spans="18:22" hidden="1" x14ac:dyDescent="0.3">
      <c r="R54">
        <v>132.1</v>
      </c>
      <c r="U54" t="s">
        <v>30</v>
      </c>
      <c r="V54">
        <v>141.30000000000001</v>
      </c>
    </row>
    <row r="55" spans="18:22" x14ac:dyDescent="0.3">
      <c r="U55" t="s">
        <v>29</v>
      </c>
      <c r="V55">
        <v>141.30000000000001</v>
      </c>
    </row>
    <row r="56" spans="18:22" hidden="1" x14ac:dyDescent="0.3">
      <c r="R56">
        <v>150.1</v>
      </c>
      <c r="U56" t="s">
        <v>27</v>
      </c>
    </row>
    <row r="57" spans="18:22" hidden="1" x14ac:dyDescent="0.3">
      <c r="U57" t="s">
        <v>30</v>
      </c>
      <c r="V57">
        <v>148.5</v>
      </c>
    </row>
    <row r="58" spans="18:22" x14ac:dyDescent="0.3">
      <c r="U58" t="s">
        <v>29</v>
      </c>
      <c r="V58">
        <v>148.5</v>
      </c>
    </row>
    <row r="59" spans="18:22" hidden="1" x14ac:dyDescent="0.3">
      <c r="R59">
        <v>167.5</v>
      </c>
      <c r="U59" t="s">
        <v>27</v>
      </c>
    </row>
    <row r="60" spans="18:22" hidden="1" x14ac:dyDescent="0.3">
      <c r="R60">
        <v>175.6</v>
      </c>
      <c r="U60" t="s">
        <v>30</v>
      </c>
      <c r="V60">
        <v>154.80000000000001</v>
      </c>
    </row>
    <row r="61" spans="18:22" x14ac:dyDescent="0.3">
      <c r="U61" t="s">
        <v>29</v>
      </c>
      <c r="V61">
        <v>154.80000000000001</v>
      </c>
    </row>
    <row r="62" spans="18:22" hidden="1" x14ac:dyDescent="0.3">
      <c r="R62">
        <v>113.9</v>
      </c>
      <c r="U62" t="s">
        <v>27</v>
      </c>
    </row>
    <row r="63" spans="18:22" hidden="1" x14ac:dyDescent="0.3">
      <c r="R63">
        <v>119</v>
      </c>
      <c r="U63" t="s">
        <v>30</v>
      </c>
      <c r="V63">
        <v>159.80000000000001</v>
      </c>
    </row>
    <row r="64" spans="18:22" x14ac:dyDescent="0.3">
      <c r="U64" t="s">
        <v>29</v>
      </c>
      <c r="V64">
        <v>159.80000000000001</v>
      </c>
    </row>
    <row r="65" spans="18:22" hidden="1" x14ac:dyDescent="0.3">
      <c r="R65">
        <v>131.4</v>
      </c>
      <c r="U65" t="s">
        <v>27</v>
      </c>
    </row>
    <row r="66" spans="18:22" hidden="1" x14ac:dyDescent="0.3">
      <c r="R66">
        <v>142.5</v>
      </c>
      <c r="U66" t="s">
        <v>30</v>
      </c>
      <c r="V66">
        <v>165.5</v>
      </c>
    </row>
    <row r="67" spans="18:22" x14ac:dyDescent="0.3">
      <c r="U67" t="s">
        <v>29</v>
      </c>
      <c r="V67">
        <v>165.5</v>
      </c>
    </row>
    <row r="68" spans="18:22" hidden="1" x14ac:dyDescent="0.3">
      <c r="R68">
        <v>154.69999999999999</v>
      </c>
      <c r="U68" t="s">
        <v>27</v>
      </c>
    </row>
    <row r="69" spans="18:22" hidden="1" x14ac:dyDescent="0.3">
      <c r="R69">
        <v>160.5</v>
      </c>
      <c r="U69" t="s">
        <v>30</v>
      </c>
      <c r="V69">
        <v>173.5</v>
      </c>
    </row>
    <row r="70" spans="18:22" x14ac:dyDescent="0.3">
      <c r="U70" t="s">
        <v>29</v>
      </c>
      <c r="V70">
        <v>173.5</v>
      </c>
    </row>
    <row r="71" spans="18:22" hidden="1" x14ac:dyDescent="0.3">
      <c r="R71">
        <v>107.7</v>
      </c>
      <c r="U71" t="s">
        <v>27</v>
      </c>
    </row>
    <row r="72" spans="18:22" hidden="1" x14ac:dyDescent="0.3">
      <c r="R72">
        <v>114.8</v>
      </c>
      <c r="U72" t="s">
        <v>30</v>
      </c>
      <c r="V72">
        <v>100.4</v>
      </c>
    </row>
    <row r="73" spans="18:22" x14ac:dyDescent="0.3">
      <c r="U73" t="s">
        <v>29</v>
      </c>
      <c r="V73">
        <v>100.4</v>
      </c>
    </row>
    <row r="74" spans="18:22" hidden="1" x14ac:dyDescent="0.3">
      <c r="R74">
        <v>126.4</v>
      </c>
      <c r="U74" t="s">
        <v>27</v>
      </c>
    </row>
    <row r="75" spans="18:22" hidden="1" x14ac:dyDescent="0.3">
      <c r="R75">
        <v>132.6</v>
      </c>
      <c r="U75" t="s">
        <v>30</v>
      </c>
      <c r="V75">
        <v>113.2</v>
      </c>
    </row>
    <row r="76" spans="18:22" x14ac:dyDescent="0.3">
      <c r="U76" t="s">
        <v>29</v>
      </c>
      <c r="V76">
        <v>113.2</v>
      </c>
    </row>
    <row r="77" spans="18:22" hidden="1" x14ac:dyDescent="0.3">
      <c r="R77">
        <v>150.6</v>
      </c>
      <c r="U77" t="s">
        <v>27</v>
      </c>
    </row>
    <row r="78" spans="18:22" hidden="1" x14ac:dyDescent="0.3">
      <c r="R78">
        <v>154.69999999999999</v>
      </c>
      <c r="U78" t="s">
        <v>30</v>
      </c>
      <c r="V78">
        <v>118.6</v>
      </c>
    </row>
    <row r="79" spans="18:22" x14ac:dyDescent="0.3">
      <c r="U79" t="s">
        <v>29</v>
      </c>
      <c r="V79">
        <v>118.6</v>
      </c>
    </row>
    <row r="80" spans="18:22" hidden="1" x14ac:dyDescent="0.3">
      <c r="R80">
        <v>167.8</v>
      </c>
      <c r="U80" t="s">
        <v>27</v>
      </c>
    </row>
    <row r="81" spans="18:22" hidden="1" x14ac:dyDescent="0.3">
      <c r="R81">
        <v>108.9</v>
      </c>
      <c r="U81" t="s">
        <v>30</v>
      </c>
      <c r="V81">
        <v>124.9</v>
      </c>
    </row>
    <row r="82" spans="18:22" x14ac:dyDescent="0.3">
      <c r="U82" t="s">
        <v>29</v>
      </c>
      <c r="V82">
        <v>124.9</v>
      </c>
    </row>
    <row r="83" spans="18:22" hidden="1" x14ac:dyDescent="0.3">
      <c r="R83">
        <v>120.9</v>
      </c>
      <c r="U83" t="s">
        <v>27</v>
      </c>
    </row>
    <row r="84" spans="18:22" hidden="1" x14ac:dyDescent="0.3">
      <c r="R84">
        <v>127.3</v>
      </c>
      <c r="U84" t="s">
        <v>30</v>
      </c>
      <c r="V84">
        <v>131.1</v>
      </c>
    </row>
    <row r="85" spans="18:22" x14ac:dyDescent="0.3">
      <c r="U85" t="s">
        <v>29</v>
      </c>
      <c r="V85">
        <v>131.1</v>
      </c>
    </row>
    <row r="86" spans="18:22" hidden="1" x14ac:dyDescent="0.3">
      <c r="R86">
        <v>144.6</v>
      </c>
      <c r="U86" t="s">
        <v>27</v>
      </c>
    </row>
    <row r="87" spans="18:22" hidden="1" x14ac:dyDescent="0.3">
      <c r="R87">
        <v>151.6</v>
      </c>
      <c r="U87" t="s">
        <v>30</v>
      </c>
      <c r="V87">
        <v>142</v>
      </c>
    </row>
    <row r="88" spans="18:22" x14ac:dyDescent="0.3">
      <c r="U88" t="s">
        <v>29</v>
      </c>
      <c r="V88">
        <v>142</v>
      </c>
    </row>
    <row r="89" spans="18:22" hidden="1" x14ac:dyDescent="0.3">
      <c r="R89">
        <v>162.1</v>
      </c>
      <c r="U89" t="s">
        <v>27</v>
      </c>
    </row>
    <row r="90" spans="18:22" hidden="1" x14ac:dyDescent="0.3">
      <c r="R90">
        <v>169</v>
      </c>
      <c r="U90" t="s">
        <v>30</v>
      </c>
      <c r="V90">
        <v>149</v>
      </c>
    </row>
    <row r="91" spans="18:22" x14ac:dyDescent="0.3">
      <c r="U91" t="s">
        <v>29</v>
      </c>
      <c r="V91">
        <v>149</v>
      </c>
    </row>
    <row r="92" spans="18:22" hidden="1" x14ac:dyDescent="0.3">
      <c r="R92">
        <v>116.1</v>
      </c>
      <c r="U92" t="s">
        <v>27</v>
      </c>
    </row>
    <row r="93" spans="18:22" hidden="1" x14ac:dyDescent="0.3">
      <c r="R93">
        <v>121.6</v>
      </c>
      <c r="U93" t="s">
        <v>30</v>
      </c>
      <c r="V93">
        <v>154.5</v>
      </c>
    </row>
    <row r="94" spans="18:22" x14ac:dyDescent="0.3">
      <c r="U94" t="s">
        <v>29</v>
      </c>
      <c r="V94">
        <v>154.5</v>
      </c>
    </row>
    <row r="95" spans="18:22" hidden="1" x14ac:dyDescent="0.3">
      <c r="R95">
        <v>135.69999999999999</v>
      </c>
      <c r="U95" t="s">
        <v>27</v>
      </c>
    </row>
    <row r="96" spans="18:22" hidden="1" x14ac:dyDescent="0.3">
      <c r="R96">
        <v>145.30000000000001</v>
      </c>
      <c r="U96" t="s">
        <v>30</v>
      </c>
      <c r="V96">
        <v>159.9</v>
      </c>
    </row>
    <row r="97" spans="18:22" x14ac:dyDescent="0.3">
      <c r="U97" t="s">
        <v>29</v>
      </c>
      <c r="V97">
        <v>159.9</v>
      </c>
    </row>
    <row r="98" spans="18:22" hidden="1" x14ac:dyDescent="0.3">
      <c r="R98">
        <v>156.30000000000001</v>
      </c>
      <c r="U98" t="s">
        <v>27</v>
      </c>
    </row>
    <row r="99" spans="18:22" hidden="1" x14ac:dyDescent="0.3">
      <c r="R99">
        <v>162.1</v>
      </c>
      <c r="U99" t="s">
        <v>30</v>
      </c>
      <c r="V99">
        <v>165.3</v>
      </c>
    </row>
    <row r="100" spans="18:22" x14ac:dyDescent="0.3">
      <c r="U100" t="s">
        <v>29</v>
      </c>
      <c r="V100">
        <v>165.3</v>
      </c>
    </row>
    <row r="101" spans="18:22" hidden="1" x14ac:dyDescent="0.3">
      <c r="R101">
        <v>110.5</v>
      </c>
      <c r="U101" t="s">
        <v>27</v>
      </c>
    </row>
    <row r="102" spans="18:22" hidden="1" x14ac:dyDescent="0.3">
      <c r="R102">
        <v>116.7</v>
      </c>
      <c r="U102" t="s">
        <v>30</v>
      </c>
      <c r="V102">
        <v>173.5</v>
      </c>
    </row>
    <row r="103" spans="18:22" x14ac:dyDescent="0.3">
      <c r="U103" t="s">
        <v>29</v>
      </c>
      <c r="V103">
        <v>173.5</v>
      </c>
    </row>
    <row r="104" spans="18:22" hidden="1" x14ac:dyDescent="0.3">
      <c r="R104">
        <v>128.69999999999999</v>
      </c>
      <c r="U104" t="s">
        <v>27</v>
      </c>
    </row>
    <row r="105" spans="18:22" hidden="1" x14ac:dyDescent="0.3">
      <c r="R105">
        <v>137.30000000000001</v>
      </c>
      <c r="U105" t="s">
        <v>30</v>
      </c>
      <c r="V105">
        <v>100.5</v>
      </c>
    </row>
    <row r="106" spans="18:22" x14ac:dyDescent="0.3">
      <c r="U106" t="s">
        <v>29</v>
      </c>
      <c r="V106">
        <v>100.5</v>
      </c>
    </row>
    <row r="107" spans="18:22" hidden="1" x14ac:dyDescent="0.3">
      <c r="R107">
        <v>153</v>
      </c>
      <c r="U107" t="s">
        <v>27</v>
      </c>
    </row>
    <row r="108" spans="18:22" hidden="1" x14ac:dyDescent="0.3">
      <c r="R108">
        <v>156.5</v>
      </c>
      <c r="U108" t="s">
        <v>30</v>
      </c>
      <c r="V108">
        <v>113.9</v>
      </c>
    </row>
    <row r="109" spans="18:22" x14ac:dyDescent="0.3">
      <c r="U109" t="s">
        <v>29</v>
      </c>
      <c r="V109">
        <v>113.9</v>
      </c>
    </row>
    <row r="110" spans="18:22" hidden="1" x14ac:dyDescent="0.3">
      <c r="R110">
        <v>171.2</v>
      </c>
      <c r="U110" t="s">
        <v>27</v>
      </c>
    </row>
    <row r="111" spans="18:22" hidden="1" x14ac:dyDescent="0.3">
      <c r="R111">
        <v>111.1</v>
      </c>
      <c r="U111" t="s">
        <v>30</v>
      </c>
      <c r="V111">
        <v>119.2</v>
      </c>
    </row>
    <row r="112" spans="18:22" x14ac:dyDescent="0.3">
      <c r="U112" t="s">
        <v>29</v>
      </c>
      <c r="V112">
        <v>119.2</v>
      </c>
    </row>
    <row r="113" spans="18:22" hidden="1" x14ac:dyDescent="0.3">
      <c r="R113">
        <v>122.9</v>
      </c>
      <c r="U113" t="s">
        <v>27</v>
      </c>
    </row>
    <row r="114" spans="18:22" hidden="1" x14ac:dyDescent="0.3">
      <c r="R114">
        <v>129.1</v>
      </c>
      <c r="U114" t="s">
        <v>30</v>
      </c>
      <c r="V114">
        <v>125.6</v>
      </c>
    </row>
    <row r="115" spans="18:22" x14ac:dyDescent="0.3">
      <c r="U115" t="s">
        <v>29</v>
      </c>
      <c r="V115">
        <v>125.6</v>
      </c>
    </row>
    <row r="116" spans="18:22" hidden="1" x14ac:dyDescent="0.3">
      <c r="R116">
        <v>146.9</v>
      </c>
      <c r="U116" t="s">
        <v>27</v>
      </c>
    </row>
    <row r="117" spans="18:22" hidden="1" x14ac:dyDescent="0.3">
      <c r="R117">
        <v>153.5</v>
      </c>
      <c r="U117" t="s">
        <v>30</v>
      </c>
      <c r="V117">
        <v>131.69999999999999</v>
      </c>
    </row>
    <row r="118" spans="18:22" x14ac:dyDescent="0.3">
      <c r="U118" t="s">
        <v>29</v>
      </c>
      <c r="V118">
        <v>131.69999999999999</v>
      </c>
    </row>
    <row r="119" spans="18:22" hidden="1" x14ac:dyDescent="0.3">
      <c r="R119">
        <v>164.2</v>
      </c>
      <c r="U119" t="s">
        <v>27</v>
      </c>
    </row>
    <row r="120" spans="18:22" hidden="1" x14ac:dyDescent="0.3">
      <c r="R120">
        <v>171.8</v>
      </c>
      <c r="U120" t="s">
        <v>30</v>
      </c>
      <c r="V120">
        <v>142.9</v>
      </c>
    </row>
    <row r="121" spans="18:22" x14ac:dyDescent="0.3">
      <c r="U121" t="s">
        <v>29</v>
      </c>
      <c r="V121">
        <v>142.9</v>
      </c>
    </row>
    <row r="122" spans="18:22" hidden="1" x14ac:dyDescent="0.3">
      <c r="R122">
        <v>116.5</v>
      </c>
      <c r="U122" t="s">
        <v>27</v>
      </c>
    </row>
    <row r="123" spans="18:22" hidden="1" x14ac:dyDescent="0.3">
      <c r="R123">
        <v>122.4</v>
      </c>
      <c r="U123" t="s">
        <v>30</v>
      </c>
      <c r="V123">
        <v>155.6</v>
      </c>
    </row>
    <row r="124" spans="18:22" x14ac:dyDescent="0.3">
      <c r="U124" t="s">
        <v>29</v>
      </c>
      <c r="V124">
        <v>155.6</v>
      </c>
    </row>
    <row r="125" spans="18:22" hidden="1" x14ac:dyDescent="0.3">
      <c r="R125">
        <v>139.1</v>
      </c>
      <c r="U125" t="s">
        <v>27</v>
      </c>
    </row>
    <row r="126" spans="18:22" hidden="1" x14ac:dyDescent="0.3">
      <c r="R126">
        <v>146.5</v>
      </c>
      <c r="U126" t="s">
        <v>30</v>
      </c>
      <c r="V126">
        <v>161.4</v>
      </c>
    </row>
    <row r="127" spans="18:22" x14ac:dyDescent="0.3">
      <c r="U127" t="s">
        <v>29</v>
      </c>
      <c r="V127">
        <v>161.4</v>
      </c>
    </row>
    <row r="128" spans="18:22" hidden="1" x14ac:dyDescent="0.3">
      <c r="R128">
        <v>158.4</v>
      </c>
      <c r="U128" t="s">
        <v>27</v>
      </c>
    </row>
    <row r="129" spans="18:22" hidden="1" x14ac:dyDescent="0.3">
      <c r="R129">
        <v>163.4</v>
      </c>
      <c r="U129" t="s">
        <v>30</v>
      </c>
      <c r="V129">
        <v>167</v>
      </c>
    </row>
    <row r="130" spans="18:22" x14ac:dyDescent="0.3">
      <c r="U130" t="s">
        <v>29</v>
      </c>
      <c r="V130">
        <v>167</v>
      </c>
    </row>
    <row r="131" spans="18:22" hidden="1" x14ac:dyDescent="0.3">
      <c r="U131" t="s">
        <v>27</v>
      </c>
    </row>
    <row r="132" spans="18:22" hidden="1" x14ac:dyDescent="0.3">
      <c r="U132" t="s">
        <v>30</v>
      </c>
      <c r="V132">
        <v>175.2</v>
      </c>
    </row>
    <row r="133" spans="18:22" x14ac:dyDescent="0.3">
      <c r="U133" t="s">
        <v>29</v>
      </c>
      <c r="V133">
        <v>175.2</v>
      </c>
    </row>
    <row r="134" spans="18:22" hidden="1" x14ac:dyDescent="0.3">
      <c r="U134" t="s">
        <v>27</v>
      </c>
    </row>
    <row r="135" spans="18:22" hidden="1" x14ac:dyDescent="0.3">
      <c r="U135" t="s">
        <v>30</v>
      </c>
      <c r="V135">
        <v>100.5</v>
      </c>
    </row>
    <row r="136" spans="18:22" x14ac:dyDescent="0.3">
      <c r="U136" t="s">
        <v>29</v>
      </c>
      <c r="V136">
        <v>100.5</v>
      </c>
    </row>
    <row r="137" spans="18:22" hidden="1" x14ac:dyDescent="0.3">
      <c r="U137" t="s">
        <v>27</v>
      </c>
    </row>
    <row r="138" spans="18:22" hidden="1" x14ac:dyDescent="0.3">
      <c r="U138" t="s">
        <v>30</v>
      </c>
      <c r="V138">
        <v>114.3</v>
      </c>
    </row>
    <row r="139" spans="18:22" x14ac:dyDescent="0.3">
      <c r="U139" t="s">
        <v>29</v>
      </c>
      <c r="V139">
        <v>114.3</v>
      </c>
    </row>
    <row r="140" spans="18:22" hidden="1" x14ac:dyDescent="0.3">
      <c r="U140" t="s">
        <v>27</v>
      </c>
    </row>
    <row r="141" spans="18:22" hidden="1" x14ac:dyDescent="0.3">
      <c r="U141" t="s">
        <v>30</v>
      </c>
      <c r="V141">
        <v>119.6</v>
      </c>
    </row>
    <row r="142" spans="18:22" x14ac:dyDescent="0.3">
      <c r="U142" t="s">
        <v>29</v>
      </c>
      <c r="V142">
        <v>119.6</v>
      </c>
    </row>
    <row r="143" spans="18:22" hidden="1" x14ac:dyDescent="0.3">
      <c r="U143" t="s">
        <v>27</v>
      </c>
    </row>
    <row r="144" spans="18:22" hidden="1" x14ac:dyDescent="0.3">
      <c r="U144" t="s">
        <v>30</v>
      </c>
      <c r="V144">
        <v>126</v>
      </c>
    </row>
    <row r="145" spans="21:22" x14ac:dyDescent="0.3">
      <c r="U145" t="s">
        <v>29</v>
      </c>
      <c r="V145">
        <v>126</v>
      </c>
    </row>
    <row r="146" spans="21:22" hidden="1" x14ac:dyDescent="0.3">
      <c r="U146" t="s">
        <v>27</v>
      </c>
    </row>
    <row r="147" spans="21:22" hidden="1" x14ac:dyDescent="0.3">
      <c r="U147" t="s">
        <v>30</v>
      </c>
      <c r="V147">
        <v>132.1</v>
      </c>
    </row>
    <row r="148" spans="21:22" x14ac:dyDescent="0.3">
      <c r="U148" t="s">
        <v>29</v>
      </c>
      <c r="V148">
        <v>132.1</v>
      </c>
    </row>
    <row r="149" spans="21:22" hidden="1" x14ac:dyDescent="0.3">
      <c r="U149" t="s">
        <v>27</v>
      </c>
    </row>
    <row r="150" spans="21:22" hidden="1" x14ac:dyDescent="0.3">
      <c r="U150" t="s">
        <v>30</v>
      </c>
      <c r="V150">
        <v>143.19999999999999</v>
      </c>
    </row>
    <row r="151" spans="21:22" x14ac:dyDescent="0.3">
      <c r="U151" t="s">
        <v>29</v>
      </c>
      <c r="V151">
        <v>143.19999999999999</v>
      </c>
    </row>
    <row r="152" spans="21:22" hidden="1" x14ac:dyDescent="0.3">
      <c r="U152" t="s">
        <v>27</v>
      </c>
    </row>
    <row r="153" spans="21:22" hidden="1" x14ac:dyDescent="0.3">
      <c r="U153" t="s">
        <v>30</v>
      </c>
      <c r="V153">
        <v>150.1</v>
      </c>
    </row>
    <row r="154" spans="21:22" x14ac:dyDescent="0.3">
      <c r="U154" t="s">
        <v>29</v>
      </c>
      <c r="V154">
        <v>150.1</v>
      </c>
    </row>
    <row r="155" spans="21:22" hidden="1" x14ac:dyDescent="0.3">
      <c r="U155" t="s">
        <v>27</v>
      </c>
    </row>
    <row r="156" spans="21:22" hidden="1" x14ac:dyDescent="0.3">
      <c r="U156" t="s">
        <v>30</v>
      </c>
    </row>
    <row r="157" spans="21:22" x14ac:dyDescent="0.3">
      <c r="U157" t="s">
        <v>29</v>
      </c>
    </row>
    <row r="158" spans="21:22" hidden="1" x14ac:dyDescent="0.3">
      <c r="U158" t="s">
        <v>27</v>
      </c>
    </row>
    <row r="159" spans="21:22" hidden="1" x14ac:dyDescent="0.3">
      <c r="U159" t="s">
        <v>30</v>
      </c>
      <c r="V159">
        <v>161.6</v>
      </c>
    </row>
    <row r="160" spans="21:22" x14ac:dyDescent="0.3">
      <c r="U160" t="s">
        <v>29</v>
      </c>
      <c r="V160">
        <v>161.6</v>
      </c>
    </row>
    <row r="161" spans="21:22" hidden="1" x14ac:dyDescent="0.3">
      <c r="U161" t="s">
        <v>27</v>
      </c>
    </row>
    <row r="162" spans="21:22" hidden="1" x14ac:dyDescent="0.3">
      <c r="U162" t="s">
        <v>30</v>
      </c>
      <c r="V162">
        <v>167.5</v>
      </c>
    </row>
    <row r="163" spans="21:22" x14ac:dyDescent="0.3">
      <c r="U163" t="s">
        <v>29</v>
      </c>
      <c r="V163">
        <v>167.5</v>
      </c>
    </row>
    <row r="164" spans="21:22" hidden="1" x14ac:dyDescent="0.3">
      <c r="U164" t="s">
        <v>27</v>
      </c>
    </row>
    <row r="165" spans="21:22" hidden="1" x14ac:dyDescent="0.3">
      <c r="U165" t="s">
        <v>30</v>
      </c>
      <c r="V165">
        <v>175.6</v>
      </c>
    </row>
    <row r="166" spans="21:22" x14ac:dyDescent="0.3">
      <c r="U166" t="s">
        <v>29</v>
      </c>
      <c r="V166">
        <v>175.6</v>
      </c>
    </row>
    <row r="167" spans="21:22" hidden="1" x14ac:dyDescent="0.3">
      <c r="U167" t="s">
        <v>27</v>
      </c>
    </row>
    <row r="168" spans="21:22" hidden="1" x14ac:dyDescent="0.3">
      <c r="U168" t="s">
        <v>30</v>
      </c>
      <c r="V168">
        <v>106.6</v>
      </c>
    </row>
    <row r="169" spans="21:22" x14ac:dyDescent="0.3">
      <c r="U169" t="s">
        <v>29</v>
      </c>
      <c r="V169">
        <v>106.6</v>
      </c>
    </row>
    <row r="170" spans="21:22" hidden="1" x14ac:dyDescent="0.3">
      <c r="U170" t="s">
        <v>27</v>
      </c>
    </row>
    <row r="171" spans="21:22" hidden="1" x14ac:dyDescent="0.3">
      <c r="U171" t="s">
        <v>30</v>
      </c>
      <c r="V171">
        <v>113.9</v>
      </c>
    </row>
    <row r="172" spans="21:22" x14ac:dyDescent="0.3">
      <c r="U172" t="s">
        <v>29</v>
      </c>
      <c r="V172">
        <v>113.9</v>
      </c>
    </row>
    <row r="173" spans="21:22" hidden="1" x14ac:dyDescent="0.3">
      <c r="U173" t="s">
        <v>27</v>
      </c>
    </row>
    <row r="174" spans="21:22" hidden="1" x14ac:dyDescent="0.3">
      <c r="U174" t="s">
        <v>30</v>
      </c>
      <c r="V174">
        <v>119</v>
      </c>
    </row>
    <row r="175" spans="21:22" x14ac:dyDescent="0.3">
      <c r="U175" t="s">
        <v>29</v>
      </c>
      <c r="V175">
        <v>119</v>
      </c>
    </row>
    <row r="176" spans="21:22" hidden="1" x14ac:dyDescent="0.3">
      <c r="U176" t="s">
        <v>27</v>
      </c>
    </row>
    <row r="177" spans="21:22" hidden="1" x14ac:dyDescent="0.3">
      <c r="U177" t="s">
        <v>30</v>
      </c>
      <c r="V177">
        <v>125.5</v>
      </c>
    </row>
    <row r="178" spans="21:22" x14ac:dyDescent="0.3">
      <c r="U178" t="s">
        <v>29</v>
      </c>
      <c r="V178">
        <v>125.5</v>
      </c>
    </row>
    <row r="179" spans="21:22" hidden="1" x14ac:dyDescent="0.3">
      <c r="U179" t="s">
        <v>27</v>
      </c>
    </row>
    <row r="180" spans="21:22" hidden="1" x14ac:dyDescent="0.3">
      <c r="U180" t="s">
        <v>30</v>
      </c>
      <c r="V180">
        <v>131.4</v>
      </c>
    </row>
    <row r="181" spans="21:22" x14ac:dyDescent="0.3">
      <c r="U181" t="s">
        <v>29</v>
      </c>
      <c r="V181">
        <v>131.4</v>
      </c>
    </row>
    <row r="182" spans="21:22" hidden="1" x14ac:dyDescent="0.3">
      <c r="U182" t="s">
        <v>27</v>
      </c>
    </row>
    <row r="183" spans="21:22" hidden="1" x14ac:dyDescent="0.3">
      <c r="U183" t="s">
        <v>30</v>
      </c>
      <c r="V183">
        <v>142.5</v>
      </c>
    </row>
    <row r="184" spans="21:22" x14ac:dyDescent="0.3">
      <c r="U184" t="s">
        <v>29</v>
      </c>
      <c r="V184">
        <v>142.5</v>
      </c>
    </row>
    <row r="185" spans="21:22" hidden="1" x14ac:dyDescent="0.3">
      <c r="U185" t="s">
        <v>27</v>
      </c>
    </row>
    <row r="186" spans="21:22" hidden="1" x14ac:dyDescent="0.3">
      <c r="U186" t="s">
        <v>30</v>
      </c>
      <c r="V186">
        <v>149.4</v>
      </c>
    </row>
    <row r="187" spans="21:22" x14ac:dyDescent="0.3">
      <c r="U187" t="s">
        <v>29</v>
      </c>
      <c r="V187">
        <v>149.4</v>
      </c>
    </row>
    <row r="188" spans="21:22" hidden="1" x14ac:dyDescent="0.3">
      <c r="U188" t="s">
        <v>27</v>
      </c>
    </row>
    <row r="189" spans="21:22" hidden="1" x14ac:dyDescent="0.3">
      <c r="U189" t="s">
        <v>30</v>
      </c>
      <c r="V189">
        <v>154.69999999999999</v>
      </c>
    </row>
    <row r="190" spans="21:22" x14ac:dyDescent="0.3">
      <c r="U190" t="s">
        <v>29</v>
      </c>
      <c r="V190">
        <v>154.69999999999999</v>
      </c>
    </row>
    <row r="191" spans="21:22" hidden="1" x14ac:dyDescent="0.3">
      <c r="U191" t="s">
        <v>27</v>
      </c>
    </row>
    <row r="192" spans="21:22" hidden="1" x14ac:dyDescent="0.3">
      <c r="U192" t="s">
        <v>30</v>
      </c>
      <c r="V192">
        <v>160.5</v>
      </c>
    </row>
    <row r="193" spans="21:22" x14ac:dyDescent="0.3">
      <c r="U193" t="s">
        <v>29</v>
      </c>
      <c r="V193">
        <v>160.5</v>
      </c>
    </row>
    <row r="194" spans="21:22" hidden="1" x14ac:dyDescent="0.3">
      <c r="U194" t="s">
        <v>27</v>
      </c>
    </row>
    <row r="195" spans="21:22" hidden="1" x14ac:dyDescent="0.3">
      <c r="U195" t="s">
        <v>30</v>
      </c>
      <c r="V195">
        <v>166.8</v>
      </c>
    </row>
    <row r="196" spans="21:22" x14ac:dyDescent="0.3">
      <c r="U196" t="s">
        <v>29</v>
      </c>
      <c r="V196">
        <v>166.8</v>
      </c>
    </row>
    <row r="197" spans="21:22" hidden="1" x14ac:dyDescent="0.3">
      <c r="U197" t="s">
        <v>27</v>
      </c>
    </row>
    <row r="198" spans="21:22" hidden="1" x14ac:dyDescent="0.3">
      <c r="U198" t="s">
        <v>30</v>
      </c>
      <c r="V198">
        <v>107.7</v>
      </c>
    </row>
    <row r="199" spans="21:22" x14ac:dyDescent="0.3">
      <c r="U199" t="s">
        <v>29</v>
      </c>
      <c r="V199">
        <v>107.7</v>
      </c>
    </row>
    <row r="200" spans="21:22" hidden="1" x14ac:dyDescent="0.3">
      <c r="U200" t="s">
        <v>27</v>
      </c>
    </row>
    <row r="201" spans="21:22" hidden="1" x14ac:dyDescent="0.3">
      <c r="U201" t="s">
        <v>30</v>
      </c>
      <c r="V201">
        <v>114.8</v>
      </c>
    </row>
    <row r="202" spans="21:22" x14ac:dyDescent="0.3">
      <c r="U202" t="s">
        <v>29</v>
      </c>
      <c r="V202">
        <v>114.8</v>
      </c>
    </row>
    <row r="203" spans="21:22" hidden="1" x14ac:dyDescent="0.3">
      <c r="U203" t="s">
        <v>27</v>
      </c>
    </row>
    <row r="204" spans="21:22" hidden="1" x14ac:dyDescent="0.3">
      <c r="U204" t="s">
        <v>30</v>
      </c>
      <c r="V204">
        <v>119.9</v>
      </c>
    </row>
    <row r="205" spans="21:22" x14ac:dyDescent="0.3">
      <c r="U205" t="s">
        <v>29</v>
      </c>
      <c r="V205">
        <v>119.9</v>
      </c>
    </row>
    <row r="206" spans="21:22" hidden="1" x14ac:dyDescent="0.3">
      <c r="U206" t="s">
        <v>27</v>
      </c>
    </row>
    <row r="207" spans="21:22" hidden="1" x14ac:dyDescent="0.3">
      <c r="U207" t="s">
        <v>30</v>
      </c>
      <c r="V207">
        <v>126.4</v>
      </c>
    </row>
    <row r="208" spans="21:22" x14ac:dyDescent="0.3">
      <c r="U208" t="s">
        <v>29</v>
      </c>
      <c r="V208">
        <v>126.4</v>
      </c>
    </row>
    <row r="209" spans="21:22" hidden="1" x14ac:dyDescent="0.3">
      <c r="U209" t="s">
        <v>27</v>
      </c>
    </row>
    <row r="210" spans="21:22" hidden="1" x14ac:dyDescent="0.3">
      <c r="U210" t="s">
        <v>30</v>
      </c>
      <c r="V210">
        <v>132.6</v>
      </c>
    </row>
    <row r="211" spans="21:22" x14ac:dyDescent="0.3">
      <c r="U211" t="s">
        <v>29</v>
      </c>
      <c r="V211">
        <v>132.6</v>
      </c>
    </row>
    <row r="212" spans="21:22" hidden="1" x14ac:dyDescent="0.3">
      <c r="U212" t="s">
        <v>27</v>
      </c>
    </row>
    <row r="213" spans="21:22" hidden="1" x14ac:dyDescent="0.3">
      <c r="U213" t="s">
        <v>30</v>
      </c>
      <c r="V213">
        <v>143.6</v>
      </c>
    </row>
    <row r="214" spans="21:22" x14ac:dyDescent="0.3">
      <c r="U214" t="s">
        <v>29</v>
      </c>
      <c r="V214">
        <v>143.6</v>
      </c>
    </row>
    <row r="215" spans="21:22" hidden="1" x14ac:dyDescent="0.3">
      <c r="U215" t="s">
        <v>27</v>
      </c>
    </row>
    <row r="216" spans="21:22" hidden="1" x14ac:dyDescent="0.3">
      <c r="U216" t="s">
        <v>30</v>
      </c>
      <c r="V216">
        <v>150.6</v>
      </c>
    </row>
    <row r="217" spans="21:22" x14ac:dyDescent="0.3">
      <c r="U217" t="s">
        <v>29</v>
      </c>
      <c r="V217">
        <v>150.6</v>
      </c>
    </row>
    <row r="218" spans="21:22" hidden="1" x14ac:dyDescent="0.3">
      <c r="U218" t="s">
        <v>27</v>
      </c>
    </row>
    <row r="219" spans="21:22" hidden="1" x14ac:dyDescent="0.3">
      <c r="U219" t="s">
        <v>30</v>
      </c>
      <c r="V219">
        <v>154.69999999999999</v>
      </c>
    </row>
    <row r="220" spans="21:22" x14ac:dyDescent="0.3">
      <c r="U220" t="s">
        <v>29</v>
      </c>
      <c r="V220">
        <v>154.69999999999999</v>
      </c>
    </row>
    <row r="221" spans="21:22" hidden="1" x14ac:dyDescent="0.3">
      <c r="U221" t="s">
        <v>27</v>
      </c>
    </row>
    <row r="222" spans="21:22" hidden="1" x14ac:dyDescent="0.3">
      <c r="U222" t="s">
        <v>30</v>
      </c>
      <c r="V222">
        <v>161.5</v>
      </c>
    </row>
    <row r="223" spans="21:22" x14ac:dyDescent="0.3">
      <c r="U223" t="s">
        <v>29</v>
      </c>
      <c r="V223">
        <v>161.5</v>
      </c>
    </row>
    <row r="224" spans="21:22" hidden="1" x14ac:dyDescent="0.3">
      <c r="U224" t="s">
        <v>27</v>
      </c>
    </row>
    <row r="225" spans="21:22" hidden="1" x14ac:dyDescent="0.3">
      <c r="U225" t="s">
        <v>30</v>
      </c>
      <c r="V225">
        <v>167.8</v>
      </c>
    </row>
    <row r="226" spans="21:22" x14ac:dyDescent="0.3">
      <c r="U226" t="s">
        <v>29</v>
      </c>
      <c r="V226">
        <v>167.8</v>
      </c>
    </row>
    <row r="227" spans="21:22" hidden="1" x14ac:dyDescent="0.3">
      <c r="U227" t="s">
        <v>27</v>
      </c>
    </row>
    <row r="228" spans="21:22" hidden="1" x14ac:dyDescent="0.3">
      <c r="U228" t="s">
        <v>30</v>
      </c>
      <c r="V228">
        <v>108.9</v>
      </c>
    </row>
    <row r="229" spans="21:22" x14ac:dyDescent="0.3">
      <c r="U229" t="s">
        <v>29</v>
      </c>
      <c r="V229">
        <v>108.9</v>
      </c>
    </row>
    <row r="230" spans="21:22" hidden="1" x14ac:dyDescent="0.3">
      <c r="U230" t="s">
        <v>27</v>
      </c>
    </row>
    <row r="231" spans="21:22" hidden="1" x14ac:dyDescent="0.3">
      <c r="U231" t="s">
        <v>30</v>
      </c>
      <c r="V231">
        <v>115.5</v>
      </c>
    </row>
    <row r="232" spans="21:22" x14ac:dyDescent="0.3">
      <c r="U232" t="s">
        <v>29</v>
      </c>
      <c r="V232">
        <v>115.5</v>
      </c>
    </row>
    <row r="233" spans="21:22" hidden="1" x14ac:dyDescent="0.3">
      <c r="U233" t="s">
        <v>27</v>
      </c>
    </row>
    <row r="234" spans="21:22" hidden="1" x14ac:dyDescent="0.3">
      <c r="U234" t="s">
        <v>30</v>
      </c>
      <c r="V234">
        <v>120.9</v>
      </c>
    </row>
    <row r="235" spans="21:22" x14ac:dyDescent="0.3">
      <c r="U235" t="s">
        <v>29</v>
      </c>
      <c r="V235">
        <v>120.9</v>
      </c>
    </row>
    <row r="236" spans="21:22" hidden="1" x14ac:dyDescent="0.3">
      <c r="U236" t="s">
        <v>27</v>
      </c>
    </row>
    <row r="237" spans="21:22" hidden="1" x14ac:dyDescent="0.3">
      <c r="U237" t="s">
        <v>30</v>
      </c>
      <c r="V237">
        <v>127.3</v>
      </c>
    </row>
    <row r="238" spans="21:22" x14ac:dyDescent="0.3">
      <c r="U238" t="s">
        <v>29</v>
      </c>
      <c r="V238">
        <v>127.3</v>
      </c>
    </row>
    <row r="239" spans="21:22" hidden="1" x14ac:dyDescent="0.3">
      <c r="U239" t="s">
        <v>27</v>
      </c>
    </row>
    <row r="240" spans="21:22" hidden="1" x14ac:dyDescent="0.3">
      <c r="U240" t="s">
        <v>30</v>
      </c>
      <c r="V240">
        <v>134.4</v>
      </c>
    </row>
    <row r="241" spans="21:22" x14ac:dyDescent="0.3">
      <c r="U241" t="s">
        <v>29</v>
      </c>
      <c r="V241">
        <v>134.4</v>
      </c>
    </row>
    <row r="242" spans="21:22" hidden="1" x14ac:dyDescent="0.3">
      <c r="U242" t="s">
        <v>27</v>
      </c>
    </row>
    <row r="243" spans="21:22" hidden="1" x14ac:dyDescent="0.3">
      <c r="U243" t="s">
        <v>30</v>
      </c>
      <c r="V243">
        <v>144.6</v>
      </c>
    </row>
    <row r="244" spans="21:22" x14ac:dyDescent="0.3">
      <c r="U244" t="s">
        <v>29</v>
      </c>
      <c r="V244">
        <v>144.6</v>
      </c>
    </row>
    <row r="245" spans="21:22" hidden="1" x14ac:dyDescent="0.3">
      <c r="U245" t="s">
        <v>27</v>
      </c>
    </row>
    <row r="246" spans="21:22" hidden="1" x14ac:dyDescent="0.3">
      <c r="U246" t="s">
        <v>30</v>
      </c>
      <c r="V246">
        <v>151.6</v>
      </c>
    </row>
    <row r="247" spans="21:22" x14ac:dyDescent="0.3">
      <c r="U247" t="s">
        <v>29</v>
      </c>
      <c r="V247">
        <v>151.6</v>
      </c>
    </row>
    <row r="248" spans="21:22" hidden="1" x14ac:dyDescent="0.3">
      <c r="U248" t="s">
        <v>27</v>
      </c>
    </row>
    <row r="249" spans="21:22" hidden="1" x14ac:dyDescent="0.3">
      <c r="U249" t="s">
        <v>30</v>
      </c>
      <c r="V249">
        <v>155.5</v>
      </c>
    </row>
    <row r="250" spans="21:22" x14ac:dyDescent="0.3">
      <c r="U250" t="s">
        <v>29</v>
      </c>
      <c r="V250">
        <v>155.5</v>
      </c>
    </row>
    <row r="251" spans="21:22" hidden="1" x14ac:dyDescent="0.3">
      <c r="U251" t="s">
        <v>27</v>
      </c>
    </row>
    <row r="252" spans="21:22" hidden="1" x14ac:dyDescent="0.3">
      <c r="U252" t="s">
        <v>30</v>
      </c>
      <c r="V252">
        <v>162.1</v>
      </c>
    </row>
    <row r="253" spans="21:22" x14ac:dyDescent="0.3">
      <c r="U253" t="s">
        <v>29</v>
      </c>
      <c r="V253">
        <v>162.1</v>
      </c>
    </row>
    <row r="254" spans="21:22" hidden="1" x14ac:dyDescent="0.3">
      <c r="U254" t="s">
        <v>27</v>
      </c>
    </row>
    <row r="255" spans="21:22" hidden="1" x14ac:dyDescent="0.3">
      <c r="U255" t="s">
        <v>30</v>
      </c>
      <c r="V255">
        <v>169</v>
      </c>
    </row>
    <row r="256" spans="21:22" x14ac:dyDescent="0.3">
      <c r="U256" t="s">
        <v>29</v>
      </c>
      <c r="V256">
        <v>169</v>
      </c>
    </row>
    <row r="257" spans="21:22" hidden="1" x14ac:dyDescent="0.3">
      <c r="U257" t="s">
        <v>27</v>
      </c>
    </row>
    <row r="258" spans="21:22" hidden="1" x14ac:dyDescent="0.3">
      <c r="U258" t="s">
        <v>30</v>
      </c>
      <c r="V258">
        <v>109.7</v>
      </c>
    </row>
    <row r="259" spans="21:22" x14ac:dyDescent="0.3">
      <c r="U259" t="s">
        <v>29</v>
      </c>
      <c r="V259">
        <v>109.7</v>
      </c>
    </row>
    <row r="260" spans="21:22" hidden="1" x14ac:dyDescent="0.3">
      <c r="U260" t="s">
        <v>27</v>
      </c>
    </row>
    <row r="261" spans="21:22" hidden="1" x14ac:dyDescent="0.3">
      <c r="U261" t="s">
        <v>30</v>
      </c>
      <c r="V261">
        <v>116.1</v>
      </c>
    </row>
    <row r="262" spans="21:22" x14ac:dyDescent="0.3">
      <c r="U262" t="s">
        <v>29</v>
      </c>
      <c r="V262">
        <v>116.1</v>
      </c>
    </row>
    <row r="263" spans="21:22" hidden="1" x14ac:dyDescent="0.3">
      <c r="U263" t="s">
        <v>27</v>
      </c>
    </row>
    <row r="264" spans="21:22" hidden="1" x14ac:dyDescent="0.3">
      <c r="U264" t="s">
        <v>30</v>
      </c>
      <c r="V264">
        <v>121.6</v>
      </c>
    </row>
    <row r="265" spans="21:22" x14ac:dyDescent="0.3">
      <c r="U265" t="s">
        <v>29</v>
      </c>
      <c r="V265">
        <v>121.6</v>
      </c>
    </row>
    <row r="266" spans="21:22" hidden="1" x14ac:dyDescent="0.3">
      <c r="U266" t="s">
        <v>27</v>
      </c>
    </row>
    <row r="267" spans="21:22" hidden="1" x14ac:dyDescent="0.3">
      <c r="U267" t="s">
        <v>30</v>
      </c>
      <c r="V267">
        <v>127.9</v>
      </c>
    </row>
    <row r="268" spans="21:22" x14ac:dyDescent="0.3">
      <c r="U268" t="s">
        <v>29</v>
      </c>
      <c r="V268">
        <v>127.9</v>
      </c>
    </row>
    <row r="269" spans="21:22" hidden="1" x14ac:dyDescent="0.3">
      <c r="U269" t="s">
        <v>27</v>
      </c>
    </row>
    <row r="270" spans="21:22" hidden="1" x14ac:dyDescent="0.3">
      <c r="U270" t="s">
        <v>30</v>
      </c>
      <c r="V270">
        <v>135.69999999999999</v>
      </c>
    </row>
    <row r="271" spans="21:22" x14ac:dyDescent="0.3">
      <c r="U271" t="s">
        <v>29</v>
      </c>
      <c r="V271">
        <v>135.69999999999999</v>
      </c>
    </row>
    <row r="272" spans="21:22" hidden="1" x14ac:dyDescent="0.3">
      <c r="U272" t="s">
        <v>27</v>
      </c>
    </row>
    <row r="273" spans="21:22" hidden="1" x14ac:dyDescent="0.3">
      <c r="U273" t="s">
        <v>30</v>
      </c>
      <c r="V273">
        <v>145.30000000000001</v>
      </c>
    </row>
    <row r="274" spans="21:22" x14ac:dyDescent="0.3">
      <c r="U274" t="s">
        <v>29</v>
      </c>
      <c r="V274">
        <v>145.30000000000001</v>
      </c>
    </row>
    <row r="275" spans="21:22" hidden="1" x14ac:dyDescent="0.3">
      <c r="U275" t="s">
        <v>27</v>
      </c>
    </row>
    <row r="276" spans="21:22" hidden="1" x14ac:dyDescent="0.3">
      <c r="U276" t="s">
        <v>30</v>
      </c>
      <c r="V276">
        <v>152.19999999999999</v>
      </c>
    </row>
    <row r="277" spans="21:22" x14ac:dyDescent="0.3">
      <c r="U277" t="s">
        <v>29</v>
      </c>
      <c r="V277">
        <v>152.19999999999999</v>
      </c>
    </row>
    <row r="278" spans="21:22" hidden="1" x14ac:dyDescent="0.3">
      <c r="U278" t="s">
        <v>27</v>
      </c>
    </row>
    <row r="279" spans="21:22" hidden="1" x14ac:dyDescent="0.3">
      <c r="U279" t="s">
        <v>30</v>
      </c>
      <c r="V279">
        <v>156.30000000000001</v>
      </c>
    </row>
    <row r="280" spans="21:22" x14ac:dyDescent="0.3">
      <c r="U280" t="s">
        <v>29</v>
      </c>
      <c r="V280">
        <v>156.30000000000001</v>
      </c>
    </row>
    <row r="281" spans="21:22" hidden="1" x14ac:dyDescent="0.3">
      <c r="U281" t="s">
        <v>27</v>
      </c>
    </row>
    <row r="282" spans="21:22" hidden="1" x14ac:dyDescent="0.3">
      <c r="U282" t="s">
        <v>30</v>
      </c>
      <c r="V282">
        <v>162.1</v>
      </c>
    </row>
    <row r="283" spans="21:22" x14ac:dyDescent="0.3">
      <c r="U283" t="s">
        <v>29</v>
      </c>
      <c r="V283">
        <v>162.1</v>
      </c>
    </row>
    <row r="284" spans="21:22" hidden="1" x14ac:dyDescent="0.3">
      <c r="U284" t="s">
        <v>27</v>
      </c>
    </row>
    <row r="285" spans="21:22" hidden="1" x14ac:dyDescent="0.3">
      <c r="U285" t="s">
        <v>30</v>
      </c>
      <c r="V285">
        <v>169.5</v>
      </c>
    </row>
    <row r="286" spans="21:22" x14ac:dyDescent="0.3">
      <c r="U286" t="s">
        <v>29</v>
      </c>
      <c r="V286">
        <v>169.5</v>
      </c>
    </row>
    <row r="287" spans="21:22" hidden="1" x14ac:dyDescent="0.3">
      <c r="U287" t="s">
        <v>27</v>
      </c>
    </row>
    <row r="288" spans="21:22" hidden="1" x14ac:dyDescent="0.3">
      <c r="U288" t="s">
        <v>30</v>
      </c>
      <c r="V288">
        <v>110.5</v>
      </c>
    </row>
    <row r="289" spans="21:22" x14ac:dyDescent="0.3">
      <c r="U289" t="s">
        <v>29</v>
      </c>
      <c r="V289">
        <v>110.5</v>
      </c>
    </row>
    <row r="290" spans="21:22" hidden="1" x14ac:dyDescent="0.3">
      <c r="U290" t="s">
        <v>27</v>
      </c>
    </row>
    <row r="291" spans="21:22" hidden="1" x14ac:dyDescent="0.3">
      <c r="U291" t="s">
        <v>30</v>
      </c>
      <c r="V291">
        <v>116.7</v>
      </c>
    </row>
    <row r="292" spans="21:22" x14ac:dyDescent="0.3">
      <c r="U292" t="s">
        <v>29</v>
      </c>
      <c r="V292">
        <v>116.7</v>
      </c>
    </row>
    <row r="293" spans="21:22" hidden="1" x14ac:dyDescent="0.3">
      <c r="U293" t="s">
        <v>27</v>
      </c>
    </row>
    <row r="294" spans="21:22" hidden="1" x14ac:dyDescent="0.3">
      <c r="U294" t="s">
        <v>30</v>
      </c>
      <c r="V294">
        <v>122.4</v>
      </c>
    </row>
    <row r="295" spans="21:22" x14ac:dyDescent="0.3">
      <c r="U295" t="s">
        <v>29</v>
      </c>
      <c r="V295">
        <v>122.4</v>
      </c>
    </row>
    <row r="296" spans="21:22" hidden="1" x14ac:dyDescent="0.3">
      <c r="U296" t="s">
        <v>27</v>
      </c>
    </row>
    <row r="297" spans="21:22" hidden="1" x14ac:dyDescent="0.3">
      <c r="U297" t="s">
        <v>30</v>
      </c>
      <c r="V297">
        <v>128.69999999999999</v>
      </c>
    </row>
    <row r="298" spans="21:22" x14ac:dyDescent="0.3">
      <c r="U298" t="s">
        <v>29</v>
      </c>
      <c r="V298">
        <v>128.69999999999999</v>
      </c>
    </row>
    <row r="299" spans="21:22" hidden="1" x14ac:dyDescent="0.3">
      <c r="U299" t="s">
        <v>27</v>
      </c>
    </row>
    <row r="300" spans="21:22" hidden="1" x14ac:dyDescent="0.3">
      <c r="U300" t="s">
        <v>30</v>
      </c>
      <c r="V300">
        <v>137.30000000000001</v>
      </c>
    </row>
    <row r="301" spans="21:22" x14ac:dyDescent="0.3">
      <c r="U301" t="s">
        <v>29</v>
      </c>
      <c r="V301">
        <v>137.30000000000001</v>
      </c>
    </row>
    <row r="302" spans="21:22" hidden="1" x14ac:dyDescent="0.3">
      <c r="U302" t="s">
        <v>27</v>
      </c>
    </row>
    <row r="303" spans="21:22" hidden="1" x14ac:dyDescent="0.3">
      <c r="U303" t="s">
        <v>30</v>
      </c>
      <c r="V303">
        <v>146.9</v>
      </c>
    </row>
    <row r="304" spans="21:22" x14ac:dyDescent="0.3">
      <c r="U304" t="s">
        <v>29</v>
      </c>
      <c r="V304">
        <v>146.30000000000001</v>
      </c>
    </row>
    <row r="305" spans="21:22" hidden="1" x14ac:dyDescent="0.3">
      <c r="U305" t="s">
        <v>27</v>
      </c>
    </row>
    <row r="306" spans="21:22" hidden="1" x14ac:dyDescent="0.3">
      <c r="U306" t="s">
        <v>30</v>
      </c>
      <c r="V306">
        <v>153</v>
      </c>
    </row>
    <row r="307" spans="21:22" x14ac:dyDescent="0.3">
      <c r="U307" t="s">
        <v>29</v>
      </c>
      <c r="V307">
        <v>153</v>
      </c>
    </row>
    <row r="308" spans="21:22" hidden="1" x14ac:dyDescent="0.3">
      <c r="U308" t="s">
        <v>27</v>
      </c>
    </row>
    <row r="309" spans="21:22" hidden="1" x14ac:dyDescent="0.3">
      <c r="U309" t="s">
        <v>30</v>
      </c>
      <c r="V309">
        <v>156.5</v>
      </c>
    </row>
    <row r="310" spans="21:22" x14ac:dyDescent="0.3">
      <c r="U310" t="s">
        <v>29</v>
      </c>
      <c r="V310">
        <v>156.5</v>
      </c>
    </row>
    <row r="311" spans="21:22" hidden="1" x14ac:dyDescent="0.3">
      <c r="U311" t="s">
        <v>27</v>
      </c>
    </row>
    <row r="312" spans="21:22" hidden="1" x14ac:dyDescent="0.3">
      <c r="U312" t="s">
        <v>30</v>
      </c>
      <c r="V312">
        <v>163.6</v>
      </c>
    </row>
    <row r="313" spans="21:22" x14ac:dyDescent="0.3">
      <c r="U313" t="s">
        <v>29</v>
      </c>
      <c r="V313">
        <v>163.6</v>
      </c>
    </row>
    <row r="314" spans="21:22" hidden="1" x14ac:dyDescent="0.3">
      <c r="U314" t="s">
        <v>27</v>
      </c>
    </row>
    <row r="315" spans="21:22" hidden="1" x14ac:dyDescent="0.3">
      <c r="U315" t="s">
        <v>30</v>
      </c>
      <c r="V315">
        <v>171.2</v>
      </c>
    </row>
    <row r="316" spans="21:22" x14ac:dyDescent="0.3">
      <c r="U316" t="s">
        <v>29</v>
      </c>
      <c r="V316">
        <v>171.2</v>
      </c>
    </row>
    <row r="317" spans="21:22" hidden="1" x14ac:dyDescent="0.3">
      <c r="U317" t="s">
        <v>27</v>
      </c>
    </row>
    <row r="318" spans="21:22" hidden="1" x14ac:dyDescent="0.3">
      <c r="U318" t="s">
        <v>30</v>
      </c>
      <c r="V318">
        <v>111.1</v>
      </c>
    </row>
    <row r="319" spans="21:22" x14ac:dyDescent="0.3">
      <c r="U319" t="s">
        <v>29</v>
      </c>
      <c r="V319">
        <v>111.1</v>
      </c>
    </row>
    <row r="320" spans="21:22" hidden="1" x14ac:dyDescent="0.3">
      <c r="U320" t="s">
        <v>27</v>
      </c>
    </row>
    <row r="321" spans="21:22" hidden="1" x14ac:dyDescent="0.3">
      <c r="U321" t="s">
        <v>30</v>
      </c>
      <c r="V321">
        <v>117.1</v>
      </c>
    </row>
    <row r="322" spans="21:22" x14ac:dyDescent="0.3">
      <c r="U322" t="s">
        <v>29</v>
      </c>
      <c r="V322">
        <v>117.1</v>
      </c>
    </row>
    <row r="323" spans="21:22" hidden="1" x14ac:dyDescent="0.3">
      <c r="U323" t="s">
        <v>27</v>
      </c>
    </row>
    <row r="324" spans="21:22" hidden="1" x14ac:dyDescent="0.3">
      <c r="U324" t="s">
        <v>30</v>
      </c>
      <c r="V324">
        <v>122.9</v>
      </c>
    </row>
    <row r="325" spans="21:22" x14ac:dyDescent="0.3">
      <c r="U325" t="s">
        <v>29</v>
      </c>
      <c r="V325">
        <v>122.9</v>
      </c>
    </row>
    <row r="326" spans="21:22" hidden="1" x14ac:dyDescent="0.3">
      <c r="U326" t="s">
        <v>27</v>
      </c>
    </row>
    <row r="327" spans="21:22" hidden="1" x14ac:dyDescent="0.3">
      <c r="U327" t="s">
        <v>30</v>
      </c>
      <c r="V327">
        <v>129.1</v>
      </c>
    </row>
    <row r="328" spans="21:22" x14ac:dyDescent="0.3">
      <c r="U328" t="s">
        <v>29</v>
      </c>
      <c r="V328">
        <v>129.1</v>
      </c>
    </row>
    <row r="329" spans="21:22" hidden="1" x14ac:dyDescent="0.3">
      <c r="U329" t="s">
        <v>27</v>
      </c>
    </row>
    <row r="330" spans="21:22" hidden="1" x14ac:dyDescent="0.3">
      <c r="U330" t="s">
        <v>30</v>
      </c>
      <c r="V330">
        <v>138.6</v>
      </c>
    </row>
    <row r="331" spans="21:22" x14ac:dyDescent="0.3">
      <c r="U331" t="s">
        <v>29</v>
      </c>
      <c r="V331">
        <v>138.6</v>
      </c>
    </row>
    <row r="332" spans="21:22" hidden="1" x14ac:dyDescent="0.3">
      <c r="U332" t="s">
        <v>27</v>
      </c>
    </row>
    <row r="333" spans="21:22" hidden="1" x14ac:dyDescent="0.3">
      <c r="U333" t="s">
        <v>30</v>
      </c>
      <c r="V333">
        <v>146.9</v>
      </c>
    </row>
    <row r="334" spans="21:22" x14ac:dyDescent="0.3">
      <c r="U334" t="s">
        <v>29</v>
      </c>
      <c r="V334">
        <v>146.9</v>
      </c>
    </row>
    <row r="335" spans="21:22" hidden="1" x14ac:dyDescent="0.3">
      <c r="U335" t="s">
        <v>27</v>
      </c>
    </row>
    <row r="336" spans="21:22" hidden="1" x14ac:dyDescent="0.3">
      <c r="U336" t="s">
        <v>30</v>
      </c>
      <c r="V336">
        <v>153.5</v>
      </c>
    </row>
    <row r="337" spans="21:22" x14ac:dyDescent="0.3">
      <c r="U337" t="s">
        <v>29</v>
      </c>
      <c r="V337">
        <v>153.5</v>
      </c>
    </row>
    <row r="338" spans="21:22" hidden="1" x14ac:dyDescent="0.3">
      <c r="U338" t="s">
        <v>27</v>
      </c>
    </row>
    <row r="339" spans="21:22" hidden="1" x14ac:dyDescent="0.3">
      <c r="U339" t="s">
        <v>30</v>
      </c>
      <c r="V339">
        <v>158</v>
      </c>
    </row>
    <row r="340" spans="21:22" x14ac:dyDescent="0.3">
      <c r="U340" t="s">
        <v>29</v>
      </c>
      <c r="V340">
        <v>158</v>
      </c>
    </row>
    <row r="341" spans="21:22" hidden="1" x14ac:dyDescent="0.3">
      <c r="U341" t="s">
        <v>27</v>
      </c>
    </row>
    <row r="342" spans="21:22" hidden="1" x14ac:dyDescent="0.3">
      <c r="U342" t="s">
        <v>30</v>
      </c>
      <c r="V342">
        <v>164.2</v>
      </c>
    </row>
    <row r="343" spans="21:22" x14ac:dyDescent="0.3">
      <c r="U343" t="s">
        <v>29</v>
      </c>
      <c r="V343">
        <v>164.2</v>
      </c>
    </row>
    <row r="344" spans="21:22" hidden="1" x14ac:dyDescent="0.3">
      <c r="U344" t="s">
        <v>27</v>
      </c>
    </row>
    <row r="345" spans="21:22" hidden="1" x14ac:dyDescent="0.3">
      <c r="U345" t="s">
        <v>30</v>
      </c>
      <c r="V345">
        <v>171.8</v>
      </c>
    </row>
    <row r="346" spans="21:22" x14ac:dyDescent="0.3">
      <c r="U346" t="s">
        <v>29</v>
      </c>
      <c r="V346">
        <v>171.8</v>
      </c>
    </row>
    <row r="347" spans="21:22" hidden="1" x14ac:dyDescent="0.3">
      <c r="U347" t="s">
        <v>27</v>
      </c>
    </row>
    <row r="348" spans="21:22" hidden="1" x14ac:dyDescent="0.3">
      <c r="U348" t="s">
        <v>30</v>
      </c>
      <c r="V348">
        <v>110.7</v>
      </c>
    </row>
    <row r="349" spans="21:22" x14ac:dyDescent="0.3">
      <c r="U349" t="s">
        <v>29</v>
      </c>
      <c r="V349">
        <v>110.7</v>
      </c>
    </row>
    <row r="350" spans="21:22" hidden="1" x14ac:dyDescent="0.3">
      <c r="U350" t="s">
        <v>27</v>
      </c>
    </row>
    <row r="351" spans="21:22" hidden="1" x14ac:dyDescent="0.3">
      <c r="U351" t="s">
        <v>30</v>
      </c>
      <c r="V351">
        <v>116.5</v>
      </c>
    </row>
    <row r="352" spans="21:22" x14ac:dyDescent="0.3">
      <c r="U352" t="s">
        <v>29</v>
      </c>
      <c r="V352">
        <v>116.5</v>
      </c>
    </row>
    <row r="353" spans="21:22" hidden="1" x14ac:dyDescent="0.3">
      <c r="U353" t="s">
        <v>27</v>
      </c>
    </row>
    <row r="354" spans="21:22" hidden="1" x14ac:dyDescent="0.3">
      <c r="U354" t="s">
        <v>30</v>
      </c>
      <c r="V354">
        <v>122.4</v>
      </c>
    </row>
    <row r="355" spans="21:22" x14ac:dyDescent="0.3">
      <c r="U355" t="s">
        <v>29</v>
      </c>
      <c r="V355">
        <v>122.4</v>
      </c>
    </row>
    <row r="356" spans="21:22" hidden="1" x14ac:dyDescent="0.3">
      <c r="U356" t="s">
        <v>27</v>
      </c>
    </row>
    <row r="357" spans="21:22" hidden="1" x14ac:dyDescent="0.3">
      <c r="U357" t="s">
        <v>30</v>
      </c>
      <c r="V357">
        <v>128.5</v>
      </c>
    </row>
    <row r="358" spans="21:22" x14ac:dyDescent="0.3">
      <c r="U358" t="s">
        <v>29</v>
      </c>
      <c r="V358">
        <v>128.5</v>
      </c>
    </row>
    <row r="359" spans="21:22" hidden="1" x14ac:dyDescent="0.3">
      <c r="U359" t="s">
        <v>27</v>
      </c>
    </row>
    <row r="360" spans="21:22" hidden="1" x14ac:dyDescent="0.3">
      <c r="U360" t="s">
        <v>30</v>
      </c>
      <c r="V360">
        <v>139.1</v>
      </c>
    </row>
    <row r="361" spans="21:22" x14ac:dyDescent="0.3">
      <c r="U361" t="s">
        <v>29</v>
      </c>
      <c r="V361">
        <v>139.1</v>
      </c>
    </row>
    <row r="362" spans="21:22" hidden="1" x14ac:dyDescent="0.3">
      <c r="U362" t="s">
        <v>27</v>
      </c>
    </row>
    <row r="363" spans="21:22" hidden="1" x14ac:dyDescent="0.3">
      <c r="U363" t="s">
        <v>30</v>
      </c>
      <c r="V363">
        <v>146.5</v>
      </c>
    </row>
    <row r="364" spans="21:22" x14ac:dyDescent="0.3">
      <c r="U364" t="s">
        <v>29</v>
      </c>
      <c r="V364">
        <v>146.5</v>
      </c>
    </row>
    <row r="365" spans="21:22" hidden="1" x14ac:dyDescent="0.3">
      <c r="U365" t="s">
        <v>27</v>
      </c>
    </row>
    <row r="366" spans="21:22" hidden="1" x14ac:dyDescent="0.3">
      <c r="U366" t="s">
        <v>30</v>
      </c>
      <c r="V366">
        <v>152.80000000000001</v>
      </c>
    </row>
    <row r="367" spans="21:22" x14ac:dyDescent="0.3">
      <c r="U367" t="s">
        <v>29</v>
      </c>
      <c r="V367">
        <v>152.80000000000001</v>
      </c>
    </row>
    <row r="368" spans="21:22" hidden="1" x14ac:dyDescent="0.3">
      <c r="U368" t="s">
        <v>27</v>
      </c>
    </row>
    <row r="369" spans="21:22" hidden="1" x14ac:dyDescent="0.3">
      <c r="U369" t="s">
        <v>30</v>
      </c>
      <c r="V369">
        <v>158.4</v>
      </c>
    </row>
    <row r="370" spans="21:22" x14ac:dyDescent="0.3">
      <c r="U370" t="s">
        <v>29</v>
      </c>
      <c r="V370">
        <v>158.4</v>
      </c>
    </row>
    <row r="371" spans="21:22" hidden="1" x14ac:dyDescent="0.3">
      <c r="U371" t="s">
        <v>27</v>
      </c>
    </row>
    <row r="372" spans="21:22" hidden="1" x14ac:dyDescent="0.3">
      <c r="U372" t="s">
        <v>30</v>
      </c>
      <c r="V372">
        <v>163.4</v>
      </c>
    </row>
    <row r="373" spans="21:22" x14ac:dyDescent="0.3">
      <c r="U373" t="s">
        <v>29</v>
      </c>
      <c r="V373">
        <v>163.4</v>
      </c>
    </row>
    <row r="374" spans="21:22" hidden="1" x14ac:dyDescent="0.3">
      <c r="U374" t="s">
        <v>27</v>
      </c>
    </row>
    <row r="375" spans="21:22" hidden="1" x14ac:dyDescent="0.3">
      <c r="U375" t="s">
        <v>30</v>
      </c>
      <c r="V375">
        <v>170.7</v>
      </c>
    </row>
    <row r="376" spans="21:22" x14ac:dyDescent="0.3">
      <c r="U376" t="s">
        <v>29</v>
      </c>
      <c r="V376">
        <v>170.7</v>
      </c>
    </row>
  </sheetData>
  <autoFilter ref="U4:V376" xr:uid="{63B96EC3-6D9C-4D73-80AC-9D02025BB369}">
    <filterColumn colId="0">
      <filters>
        <filter val="Urban"/>
      </filters>
    </filterColumn>
  </autoFilter>
  <conditionalFormatting sqref="A1:AE1">
    <cfRule type="containsText" dxfId="51" priority="5" operator="containsText" text="&quot;blanks&quot;">
      <formula>NOT(ISERROR(SEARCH("""blanks""",A1)))</formula>
    </cfRule>
  </conditionalFormatting>
  <conditionalFormatting sqref="D5:D128">
    <cfRule type="containsText" dxfId="50" priority="4" operator="containsText" text="&quot;blanks&quot;">
      <formula>NOT(ISERROR(SEARCH("""blanks""",D5)))</formula>
    </cfRule>
  </conditionalFormatting>
  <conditionalFormatting sqref="E5:E129">
    <cfRule type="containsText" dxfId="49" priority="3" operator="containsText" text="&quot;blanks&quot;">
      <formula>NOT(ISERROR(SEARCH("""blanks""",E5)))</formula>
    </cfRule>
  </conditionalFormatting>
  <conditionalFormatting sqref="R7:R130">
    <cfRule type="containsText" dxfId="48" priority="1" operator="containsText" text="&quot;blanks&quot;">
      <formula>NOT(ISERROR(SEARCH("""blanks""",R7)))</formula>
    </cfRule>
  </conditionalFormatting>
  <conditionalFormatting sqref="U4:V376">
    <cfRule type="containsText" dxfId="47" priority="2" operator="containsText" text="&quot;blanks&quot;">
      <formula>NOT(ISERROR(SEARCH("""blanks""",U4)))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407B-6306-444F-AB45-F027ED8C136E}">
  <dimension ref="A1:M373"/>
  <sheetViews>
    <sheetView topLeftCell="B47" workbookViewId="0">
      <selection activeCell="A3" sqref="A3"/>
    </sheetView>
  </sheetViews>
  <sheetFormatPr defaultRowHeight="14.4" x14ac:dyDescent="0.3"/>
  <cols>
    <col min="1" max="1" width="32.5546875" customWidth="1"/>
    <col min="2" max="2" width="35.88671875" customWidth="1"/>
    <col min="4" max="4" width="6.33203125" bestFit="1" customWidth="1"/>
    <col min="5" max="5" width="6.109375" customWidth="1"/>
    <col min="6" max="6" width="8.88671875" customWidth="1"/>
    <col min="7" max="7" width="18.109375" bestFit="1" customWidth="1"/>
    <col min="8" max="8" width="25.6640625" bestFit="1" customWidth="1"/>
    <col min="9" max="9" width="20" bestFit="1" customWidth="1"/>
    <col min="10" max="10" width="20.5546875" bestFit="1" customWidth="1"/>
    <col min="11" max="11" width="31.5546875" bestFit="1" customWidth="1"/>
    <col min="12" max="12" width="12.88671875" bestFit="1" customWidth="1"/>
    <col min="13" max="13" width="12.44140625" bestFit="1" customWidth="1"/>
  </cols>
  <sheetData>
    <row r="1" spans="1:13" x14ac:dyDescent="0.3">
      <c r="A1" s="6" t="s">
        <v>3</v>
      </c>
      <c r="B1" s="78" t="s">
        <v>50</v>
      </c>
      <c r="D1" s="1" t="s">
        <v>0</v>
      </c>
      <c r="E1" s="1" t="s">
        <v>1</v>
      </c>
      <c r="F1" s="1" t="s">
        <v>2</v>
      </c>
      <c r="G1" s="1" t="s">
        <v>50</v>
      </c>
      <c r="H1" s="1" t="s">
        <v>14</v>
      </c>
      <c r="I1" s="1" t="s">
        <v>17</v>
      </c>
      <c r="J1" s="1" t="s">
        <v>48</v>
      </c>
      <c r="K1" s="1" t="s">
        <v>49</v>
      </c>
      <c r="L1" s="1" t="s">
        <v>25</v>
      </c>
      <c r="M1" s="1" t="s">
        <v>26</v>
      </c>
    </row>
    <row r="2" spans="1:13" x14ac:dyDescent="0.3">
      <c r="A2" s="6" t="s">
        <v>4</v>
      </c>
      <c r="B2" s="78"/>
      <c r="D2" t="s">
        <v>27</v>
      </c>
      <c r="E2">
        <v>2013</v>
      </c>
      <c r="F2" t="s">
        <v>28</v>
      </c>
      <c r="G2">
        <f>SUM('All_India_Index_Upto_April23 (1'!$E2:$Q2)</f>
        <v>1371.6999999999998</v>
      </c>
      <c r="H2">
        <f>SUM('All_India_Index_Upto_April23 (1'!R2)</f>
        <v>105.1</v>
      </c>
      <c r="I2">
        <f>SUM('All_India_Index_Upto_April23 (1'!$S2:$U2)</f>
        <v>318.70000000000005</v>
      </c>
      <c r="J2">
        <f>SUM('All_India_Index_Upto_April23 (1'!$V2:$X2)</f>
        <v>310.60000000000002</v>
      </c>
      <c r="K2">
        <f>SUM('All_India_Index_Upto_April23 (1'!$Y2:$AA2)</f>
        <v>312.5</v>
      </c>
      <c r="L2">
        <f>SUM('All_India_Index_Upto_April23 (1'!$AB2:$AD2)</f>
        <v>310.7</v>
      </c>
      <c r="M2">
        <v>105.1</v>
      </c>
    </row>
    <row r="3" spans="1:13" x14ac:dyDescent="0.3">
      <c r="A3" s="6" t="s">
        <v>5</v>
      </c>
      <c r="B3" s="78"/>
      <c r="D3" t="s">
        <v>30</v>
      </c>
      <c r="E3">
        <v>2013</v>
      </c>
      <c r="F3" t="s">
        <v>28</v>
      </c>
      <c r="G3">
        <f>SUM('All_India_Index_Upto_April23 (1'!$E3:$Q3)</f>
        <v>1373.3000000000002</v>
      </c>
      <c r="H3">
        <f>SUM('All_India_Index_Upto_April23 (1'!R3)</f>
        <v>105.1</v>
      </c>
      <c r="I3">
        <f>SUM('All_India_Index_Upto_April23 (1'!$S3:$U3)</f>
        <v>318</v>
      </c>
      <c r="J3">
        <f>SUM('All_India_Index_Upto_April23 (1'!$V3:$X3)</f>
        <v>310.60000000000002</v>
      </c>
      <c r="K3">
        <f>SUM('All_India_Index_Upto_April23 (1'!$Y3:$AA3)</f>
        <v>312.10000000000002</v>
      </c>
      <c r="L3">
        <f>SUM('All_India_Index_Upto_April23 (1'!$AB3:$AD3)</f>
        <v>310.20000000000005</v>
      </c>
      <c r="M3">
        <v>104.6</v>
      </c>
    </row>
    <row r="4" spans="1:13" x14ac:dyDescent="0.3">
      <c r="A4" s="6" t="s">
        <v>6</v>
      </c>
      <c r="B4" s="78"/>
      <c r="D4" t="s">
        <v>29</v>
      </c>
      <c r="E4">
        <v>2013</v>
      </c>
      <c r="F4" t="s">
        <v>28</v>
      </c>
      <c r="G4">
        <f>SUM('All_India_Index_Upto_April23 (1'!$E4:$Q4)</f>
        <v>1376.4</v>
      </c>
      <c r="H4">
        <f>SUM('All_India_Index_Upto_April23 (1'!R4)</f>
        <v>105.2</v>
      </c>
      <c r="I4">
        <f>SUM('All_India_Index_Upto_April23 (1'!$S4:$U4)</f>
        <v>316.7</v>
      </c>
      <c r="J4">
        <f>SUM('All_India_Index_Upto_April23 (1'!$V4:$X4)</f>
        <v>310.5</v>
      </c>
      <c r="K4">
        <f>SUM('All_India_Index_Upto_April23 (1'!$Y4:$AA4)</f>
        <v>311.89999999999998</v>
      </c>
      <c r="L4">
        <f>SUM('All_India_Index_Upto_April23 (1'!$AB4:$AD4)</f>
        <v>309.8</v>
      </c>
      <c r="M4">
        <v>104</v>
      </c>
    </row>
    <row r="5" spans="1:13" x14ac:dyDescent="0.3">
      <c r="A5" s="6" t="s">
        <v>7</v>
      </c>
      <c r="B5" s="78"/>
      <c r="D5" t="s">
        <v>27</v>
      </c>
      <c r="E5">
        <v>2013</v>
      </c>
      <c r="F5" t="s">
        <v>31</v>
      </c>
      <c r="G5">
        <f>SUM('All_India_Index_Upto_April23 (1'!$E5:$Q5)</f>
        <v>1380.3999999999999</v>
      </c>
      <c r="H5">
        <f>SUM('All_India_Index_Upto_April23 (1'!R5)</f>
        <v>105.6</v>
      </c>
      <c r="I5">
        <f>SUM('All_India_Index_Upto_April23 (1'!$S5:$U5)</f>
        <v>320.39999999999998</v>
      </c>
      <c r="J5">
        <f>SUM('All_India_Index_Upto_April23 (1'!$V5:$X5)</f>
        <v>311.8</v>
      </c>
      <c r="K5">
        <f>SUM('All_India_Index_Upto_April23 (1'!$Y5:$AA5)</f>
        <v>313.10000000000002</v>
      </c>
      <c r="L5">
        <f>SUM('All_India_Index_Upto_April23 (1'!$AB5:$AD5)</f>
        <v>312.3</v>
      </c>
      <c r="M5">
        <v>105.8</v>
      </c>
    </row>
    <row r="6" spans="1:13" x14ac:dyDescent="0.3">
      <c r="A6" s="6" t="s">
        <v>8</v>
      </c>
      <c r="B6" s="78"/>
      <c r="D6" t="s">
        <v>30</v>
      </c>
      <c r="E6">
        <v>2013</v>
      </c>
      <c r="F6" t="s">
        <v>31</v>
      </c>
      <c r="G6">
        <f>SUM('All_India_Index_Upto_April23 (1'!$E6:$Q6)</f>
        <v>1384.2</v>
      </c>
      <c r="H6">
        <f>SUM('All_India_Index_Upto_April23 (1'!R6)</f>
        <v>105.7</v>
      </c>
      <c r="I6">
        <f>SUM('All_India_Index_Upto_April23 (1'!$S6:$U6)</f>
        <v>319.7</v>
      </c>
      <c r="J6">
        <f>SUM('All_India_Index_Upto_April23 (1'!$V6:$X6)</f>
        <v>311.60000000000002</v>
      </c>
      <c r="K6">
        <f>SUM('All_India_Index_Upto_April23 (1'!$Y6:$AA6)</f>
        <v>312.89999999999998</v>
      </c>
      <c r="L6">
        <f>SUM('All_India_Index_Upto_April23 (1'!$AB6:$AD6)</f>
        <v>312.20000000000005</v>
      </c>
      <c r="M6">
        <v>105.3</v>
      </c>
    </row>
    <row r="7" spans="1:13" x14ac:dyDescent="0.3">
      <c r="A7" s="6" t="s">
        <v>9</v>
      </c>
      <c r="B7" s="78"/>
      <c r="D7" t="s">
        <v>29</v>
      </c>
      <c r="E7">
        <v>2013</v>
      </c>
      <c r="F7" t="s">
        <v>31</v>
      </c>
      <c r="G7">
        <f>SUM('All_India_Index_Upto_April23 (1'!$E7:$Q7)</f>
        <v>1390.6000000000001</v>
      </c>
      <c r="H7">
        <f>SUM('All_India_Index_Upto_April23 (1'!R7)</f>
        <v>106</v>
      </c>
      <c r="I7">
        <f>SUM('All_India_Index_Upto_April23 (1'!$S7:$U7)</f>
        <v>318.5</v>
      </c>
      <c r="J7">
        <f>SUM('All_India_Index_Upto_April23 (1'!$V7:$X7)</f>
        <v>311.3</v>
      </c>
      <c r="K7">
        <f>SUM('All_India_Index_Upto_April23 (1'!$Y7:$AA7)</f>
        <v>312.7</v>
      </c>
      <c r="L7">
        <f>SUM('All_India_Index_Upto_April23 (1'!$AB7:$AD7)</f>
        <v>312</v>
      </c>
      <c r="M7">
        <v>104.7</v>
      </c>
    </row>
    <row r="8" spans="1:13" x14ac:dyDescent="0.3">
      <c r="A8" s="6" t="s">
        <v>10</v>
      </c>
      <c r="B8" s="78"/>
      <c r="D8" t="s">
        <v>27</v>
      </c>
      <c r="E8">
        <v>2013</v>
      </c>
      <c r="F8" t="s">
        <v>32</v>
      </c>
      <c r="G8">
        <f>SUM('All_India_Index_Upto_April23 (1'!$E8:$Q8)</f>
        <v>1382.2</v>
      </c>
      <c r="H8">
        <f>SUM('All_India_Index_Upto_April23 (1'!R8)</f>
        <v>106.5</v>
      </c>
      <c r="I8">
        <f>SUM('All_India_Index_Upto_April23 (1'!$S8:$U8)</f>
        <v>321.89999999999998</v>
      </c>
      <c r="J8">
        <f>SUM('All_India_Index_Upto_April23 (1'!$V8:$X8)</f>
        <v>312.10000000000002</v>
      </c>
      <c r="K8">
        <f>SUM('All_India_Index_Upto_April23 (1'!$Y8:$AA8)</f>
        <v>313.3</v>
      </c>
      <c r="L8">
        <f>SUM('All_India_Index_Upto_April23 (1'!$AB8:$AD8)</f>
        <v>313.2</v>
      </c>
      <c r="M8">
        <v>106</v>
      </c>
    </row>
    <row r="9" spans="1:13" x14ac:dyDescent="0.3">
      <c r="A9" s="6" t="s">
        <v>11</v>
      </c>
      <c r="B9" s="78"/>
      <c r="D9" t="s">
        <v>30</v>
      </c>
      <c r="E9">
        <v>2013</v>
      </c>
      <c r="F9" t="s">
        <v>32</v>
      </c>
      <c r="G9">
        <f>SUM('All_India_Index_Upto_April23 (1'!$E9:$Q9)</f>
        <v>1384.0000000000002</v>
      </c>
      <c r="H9">
        <f>SUM('All_India_Index_Upto_April23 (1'!R9)</f>
        <v>106.6</v>
      </c>
      <c r="I9">
        <f>SUM('All_India_Index_Upto_April23 (1'!$S9:$U9)</f>
        <v>321.2</v>
      </c>
      <c r="J9">
        <f>SUM('All_India_Index_Upto_April23 (1'!$V9:$X9)</f>
        <v>312.10000000000002</v>
      </c>
      <c r="K9">
        <f>SUM('All_India_Index_Upto_April23 (1'!$Y9:$AA9)</f>
        <v>313.2</v>
      </c>
      <c r="L9">
        <f>SUM('All_India_Index_Upto_April23 (1'!$AB9:$AD9)</f>
        <v>313.5</v>
      </c>
      <c r="M9">
        <v>105.5</v>
      </c>
    </row>
    <row r="10" spans="1:13" x14ac:dyDescent="0.3">
      <c r="A10" s="6" t="s">
        <v>12</v>
      </c>
      <c r="B10" s="78"/>
      <c r="D10" t="s">
        <v>29</v>
      </c>
      <c r="E10">
        <v>2013</v>
      </c>
      <c r="F10" t="s">
        <v>32</v>
      </c>
      <c r="G10">
        <f>SUM('All_India_Index_Upto_April23 (1'!$E10:$Q10)</f>
        <v>1386.8</v>
      </c>
      <c r="H10">
        <f>SUM('All_India_Index_Upto_April23 (1'!R10)</f>
        <v>106.8</v>
      </c>
      <c r="I10">
        <f>SUM('All_India_Index_Upto_April23 (1'!$S10:$U10)</f>
        <v>320.2</v>
      </c>
      <c r="J10">
        <f>SUM('All_India_Index_Upto_April23 (1'!$V10:$X10)</f>
        <v>312.10000000000002</v>
      </c>
      <c r="K10">
        <f>SUM('All_India_Index_Upto_April23 (1'!$Y10:$AA10)</f>
        <v>313.2</v>
      </c>
      <c r="L10">
        <f>SUM('All_India_Index_Upto_April23 (1'!$AB10:$AD10)</f>
        <v>313.89999999999998</v>
      </c>
      <c r="M10">
        <v>105</v>
      </c>
    </row>
    <row r="11" spans="1:13" x14ac:dyDescent="0.3">
      <c r="A11" s="6" t="s">
        <v>47</v>
      </c>
      <c r="B11" s="78"/>
      <c r="D11" t="s">
        <v>27</v>
      </c>
      <c r="E11">
        <v>2013</v>
      </c>
      <c r="F11" t="s">
        <v>33</v>
      </c>
      <c r="G11">
        <f>SUM('All_India_Index_Upto_April23 (1'!$E11:$Q11)</f>
        <v>1385.8</v>
      </c>
      <c r="H11">
        <f>SUM('All_India_Index_Upto_April23 (1'!R11)</f>
        <v>107.1</v>
      </c>
      <c r="I11">
        <f>SUM('All_India_Index_Upto_April23 (1'!$S11:$U11)</f>
        <v>323.5</v>
      </c>
      <c r="J11">
        <f>SUM('All_India_Index_Upto_April23 (1'!$V11:$X11)</f>
        <v>313.10000000000002</v>
      </c>
      <c r="K11">
        <f>SUM('All_India_Index_Upto_April23 (1'!$Y11:$AA11)</f>
        <v>312.60000000000002</v>
      </c>
      <c r="L11">
        <f>SUM('All_India_Index_Upto_April23 (1'!$AB11:$AD11)</f>
        <v>313.5</v>
      </c>
      <c r="M11">
        <v>106.4</v>
      </c>
    </row>
    <row r="12" spans="1:13" x14ac:dyDescent="0.3">
      <c r="A12" s="6" t="s">
        <v>45</v>
      </c>
      <c r="B12" s="78"/>
      <c r="D12" t="s">
        <v>30</v>
      </c>
      <c r="E12">
        <v>2013</v>
      </c>
      <c r="F12" t="s">
        <v>33</v>
      </c>
      <c r="G12">
        <f>SUM('All_India_Index_Upto_April23 (1'!$E12:$Q12)</f>
        <v>1390.2</v>
      </c>
      <c r="H12">
        <f>SUM('All_India_Index_Upto_April23 (1'!R12)</f>
        <v>107.5</v>
      </c>
      <c r="I12">
        <f>SUM('All_India_Index_Upto_April23 (1'!$S12:$U12)</f>
        <v>322.89999999999998</v>
      </c>
      <c r="J12">
        <f>SUM('All_India_Index_Upto_April23 (1'!$V12:$X12)</f>
        <v>313.3</v>
      </c>
      <c r="K12">
        <f>SUM('All_India_Index_Upto_April23 (1'!$Y12:$AA12)</f>
        <v>313.2</v>
      </c>
      <c r="L12">
        <f>SUM('All_India_Index_Upto_April23 (1'!$AB12:$AD12)</f>
        <v>313.7</v>
      </c>
      <c r="M12">
        <v>106.1</v>
      </c>
    </row>
    <row r="13" spans="1:13" x14ac:dyDescent="0.3">
      <c r="A13" s="6" t="s">
        <v>13</v>
      </c>
      <c r="B13" s="78"/>
      <c r="D13" t="s">
        <v>29</v>
      </c>
      <c r="E13">
        <v>2013</v>
      </c>
      <c r="F13" t="s">
        <v>33</v>
      </c>
      <c r="G13">
        <f>SUM('All_India_Index_Upto_April23 (1'!$E13:$Q13)</f>
        <v>1397.6999999999998</v>
      </c>
      <c r="H13">
        <f>SUM('All_India_Index_Upto_April23 (1'!R13)</f>
        <v>108.5</v>
      </c>
      <c r="I13">
        <f>SUM('All_India_Index_Upto_April23 (1'!$S13:$U13)</f>
        <v>322</v>
      </c>
      <c r="J13">
        <f>SUM('All_India_Index_Upto_April23 (1'!$V13:$X13)</f>
        <v>313.39999999999998</v>
      </c>
      <c r="K13">
        <f>SUM('All_India_Index_Upto_April23 (1'!$Y13:$AA13)</f>
        <v>314.10000000000002</v>
      </c>
      <c r="L13">
        <f>SUM('All_India_Index_Upto_April23 (1'!$AB13:$AD13)</f>
        <v>314.10000000000002</v>
      </c>
      <c r="M13">
        <v>105.7</v>
      </c>
    </row>
    <row r="14" spans="1:13" x14ac:dyDescent="0.3">
      <c r="A14" s="8" t="s">
        <v>14</v>
      </c>
      <c r="B14" s="9" t="s">
        <v>14</v>
      </c>
      <c r="D14" t="s">
        <v>27</v>
      </c>
      <c r="E14">
        <v>2013</v>
      </c>
      <c r="F14" t="s">
        <v>34</v>
      </c>
      <c r="G14">
        <f>SUM('All_India_Index_Upto_April23 (1'!$E14:$Q14)</f>
        <v>1394</v>
      </c>
      <c r="H14">
        <f>SUM('All_India_Index_Upto_April23 (1'!R14)</f>
        <v>108.1</v>
      </c>
      <c r="I14">
        <f>SUM('All_India_Index_Upto_April23 (1'!$S14:$U14)</f>
        <v>325.29999999999995</v>
      </c>
      <c r="J14">
        <f>SUM('All_India_Index_Upto_April23 (1'!$V14:$X14)</f>
        <v>314.8</v>
      </c>
      <c r="K14">
        <f>SUM('All_India_Index_Upto_April23 (1'!$Y14:$AA14)</f>
        <v>313.3</v>
      </c>
      <c r="L14">
        <f>SUM('All_India_Index_Upto_April23 (1'!$AB14:$AD14)</f>
        <v>313.89999999999998</v>
      </c>
      <c r="M14">
        <v>107.2</v>
      </c>
    </row>
    <row r="15" spans="1:13" x14ac:dyDescent="0.3">
      <c r="A15" s="3" t="s">
        <v>15</v>
      </c>
      <c r="B15" s="78" t="s">
        <v>17</v>
      </c>
      <c r="D15" t="s">
        <v>30</v>
      </c>
      <c r="E15">
        <v>2013</v>
      </c>
      <c r="F15" t="s">
        <v>34</v>
      </c>
      <c r="G15">
        <f>SUM('All_India_Index_Upto_April23 (1'!$E15:$Q15)</f>
        <v>1402.1999999999998</v>
      </c>
      <c r="H15">
        <f>SUM('All_India_Index_Upto_April23 (1'!R15)</f>
        <v>108.6</v>
      </c>
      <c r="I15">
        <f>SUM('All_India_Index_Upto_April23 (1'!$S15:$U15)</f>
        <v>324.60000000000002</v>
      </c>
      <c r="J15">
        <f>SUM('All_India_Index_Upto_April23 (1'!$V15:$X15)</f>
        <v>314.8</v>
      </c>
      <c r="K15">
        <f>SUM('All_India_Index_Upto_April23 (1'!$Y15:$AA15)</f>
        <v>313.79999999999995</v>
      </c>
      <c r="L15">
        <f>SUM('All_India_Index_Upto_April23 (1'!$AB15:$AD15)</f>
        <v>313.60000000000002</v>
      </c>
      <c r="M15">
        <v>106.9</v>
      </c>
    </row>
    <row r="16" spans="1:13" x14ac:dyDescent="0.3">
      <c r="A16" s="3" t="s">
        <v>16</v>
      </c>
      <c r="B16" s="78"/>
      <c r="D16" t="s">
        <v>29</v>
      </c>
      <c r="E16">
        <v>2013</v>
      </c>
      <c r="F16" t="s">
        <v>34</v>
      </c>
      <c r="G16">
        <f>SUM('All_India_Index_Upto_April23 (1'!$E16:$Q16)</f>
        <v>1417.1999999999998</v>
      </c>
      <c r="H16">
        <f>SUM('All_India_Index_Upto_April23 (1'!R16)</f>
        <v>109.8</v>
      </c>
      <c r="I16">
        <f>SUM('All_India_Index_Upto_April23 (1'!$S16:$U16)</f>
        <v>323.5</v>
      </c>
      <c r="J16">
        <f>SUM('All_India_Index_Upto_April23 (1'!$V16:$X16)</f>
        <v>314.79999999999995</v>
      </c>
      <c r="K16">
        <f>SUM('All_India_Index_Upto_April23 (1'!$Y16:$AA16)</f>
        <v>314.5</v>
      </c>
      <c r="L16">
        <f>SUM('All_India_Index_Upto_April23 (1'!$AB16:$AD16)</f>
        <v>313.39999999999998</v>
      </c>
      <c r="M16">
        <v>106.6</v>
      </c>
    </row>
    <row r="17" spans="1:13" x14ac:dyDescent="0.3">
      <c r="A17" s="3" t="s">
        <v>17</v>
      </c>
      <c r="B17" s="78"/>
      <c r="D17" t="s">
        <v>27</v>
      </c>
      <c r="E17">
        <v>2013</v>
      </c>
      <c r="F17" t="s">
        <v>35</v>
      </c>
      <c r="G17">
        <f>SUM('All_India_Index_Upto_April23 (1'!$E17:$Q17)</f>
        <v>1420</v>
      </c>
      <c r="H17">
        <f>SUM('All_India_Index_Upto_April23 (1'!R17)</f>
        <v>109</v>
      </c>
      <c r="I17">
        <f>SUM('All_India_Index_Upto_April23 (1'!$S17:$U17)</f>
        <v>328</v>
      </c>
      <c r="J17">
        <f>SUM('All_India_Index_Upto_April23 (1'!$V17:$X17)</f>
        <v>322.60000000000002</v>
      </c>
      <c r="K17">
        <f>SUM('All_India_Index_Upto_April23 (1'!$Y17:$AA17)</f>
        <v>315.3</v>
      </c>
      <c r="L17">
        <f>SUM('All_India_Index_Upto_April23 (1'!$AB17:$AD17)</f>
        <v>316.10000000000002</v>
      </c>
      <c r="M17">
        <v>108.9</v>
      </c>
    </row>
    <row r="18" spans="1:13" x14ac:dyDescent="0.3">
      <c r="A18" s="4" t="s">
        <v>18</v>
      </c>
      <c r="B18" s="78" t="s">
        <v>48</v>
      </c>
      <c r="D18" t="s">
        <v>30</v>
      </c>
      <c r="E18">
        <v>2013</v>
      </c>
      <c r="F18" t="s">
        <v>35</v>
      </c>
      <c r="G18">
        <f>SUM('All_India_Index_Upto_April23 (1'!$E18:$Q18)</f>
        <v>1436</v>
      </c>
      <c r="H18">
        <f>SUM('All_India_Index_Upto_April23 (1'!R18)</f>
        <v>109.5</v>
      </c>
      <c r="I18">
        <f>SUM('All_India_Index_Upto_April23 (1'!$S18:$U18)</f>
        <v>326.89999999999998</v>
      </c>
      <c r="J18">
        <f>SUM('All_India_Index_Upto_April23 (1'!$V18:$X18)</f>
        <v>322.5</v>
      </c>
      <c r="K18">
        <f>SUM('All_India_Index_Upto_April23 (1'!$Y18:$AA18)</f>
        <v>316.60000000000002</v>
      </c>
      <c r="L18">
        <f>SUM('All_India_Index_Upto_April23 (1'!$AB18:$AD18)</f>
        <v>316.3</v>
      </c>
      <c r="M18">
        <v>109.3</v>
      </c>
    </row>
    <row r="19" spans="1:13" x14ac:dyDescent="0.3">
      <c r="A19" s="4" t="s">
        <v>19</v>
      </c>
      <c r="B19" s="78"/>
      <c r="D19" t="s">
        <v>29</v>
      </c>
      <c r="E19">
        <v>2013</v>
      </c>
      <c r="F19" t="s">
        <v>35</v>
      </c>
      <c r="G19">
        <f>SUM('All_India_Index_Upto_April23 (1'!$E19:$Q19)</f>
        <v>1464.6000000000001</v>
      </c>
      <c r="H19">
        <f>SUM('All_India_Index_Upto_April23 (1'!R19)</f>
        <v>110.9</v>
      </c>
      <c r="I19">
        <f>SUM('All_India_Index_Upto_April23 (1'!$S19:$U19)</f>
        <v>325.3</v>
      </c>
      <c r="J19">
        <f>SUM('All_India_Index_Upto_April23 (1'!$V19:$X19)</f>
        <v>322.3</v>
      </c>
      <c r="K19">
        <f>SUM('All_India_Index_Upto_April23 (1'!$Y19:$AA19)</f>
        <v>317.89999999999998</v>
      </c>
      <c r="L19">
        <f>SUM('All_India_Index_Upto_April23 (1'!$AB19:$AD19)</f>
        <v>316.5</v>
      </c>
      <c r="M19">
        <v>109.7</v>
      </c>
    </row>
    <row r="20" spans="1:13" x14ac:dyDescent="0.3">
      <c r="A20" s="4" t="s">
        <v>20</v>
      </c>
      <c r="B20" s="78"/>
      <c r="D20" t="s">
        <v>27</v>
      </c>
      <c r="E20">
        <v>2013</v>
      </c>
      <c r="F20" t="s">
        <v>36</v>
      </c>
      <c r="G20">
        <f>SUM('All_India_Index_Upto_April23 (1'!$E20:$Q20)</f>
        <v>1445.8999999999996</v>
      </c>
      <c r="H20">
        <f>SUM('All_India_Index_Upto_April23 (1'!R20)</f>
        <v>109.8</v>
      </c>
      <c r="I20">
        <f>SUM('All_India_Index_Upto_April23 (1'!$S20:$U20)</f>
        <v>330.3</v>
      </c>
      <c r="J20">
        <f>SUM('All_India_Index_Upto_April23 (1'!$V20:$X20)</f>
        <v>325.5</v>
      </c>
      <c r="K20">
        <f>SUM('All_India_Index_Upto_April23 (1'!$Y20:$AA20)</f>
        <v>317.2</v>
      </c>
      <c r="L20">
        <f>SUM('All_India_Index_Upto_April23 (1'!$AB20:$AD20)</f>
        <v>319.7</v>
      </c>
      <c r="M20">
        <v>110.7</v>
      </c>
    </row>
    <row r="21" spans="1:13" x14ac:dyDescent="0.3">
      <c r="A21" s="5" t="s">
        <v>21</v>
      </c>
      <c r="B21" s="78" t="s">
        <v>49</v>
      </c>
      <c r="D21" t="s">
        <v>30</v>
      </c>
      <c r="E21">
        <v>2013</v>
      </c>
      <c r="F21" t="s">
        <v>36</v>
      </c>
      <c r="G21">
        <f>SUM('All_India_Index_Upto_April23 (1'!$E21:$Q21)</f>
        <v>1461.3999999999999</v>
      </c>
      <c r="H21">
        <f>SUM('All_India_Index_Upto_April23 (1'!R21)</f>
        <v>110.3</v>
      </c>
      <c r="I21">
        <f>SUM('All_India_Index_Upto_April23 (1'!$S21:$U21)</f>
        <v>329</v>
      </c>
      <c r="J21">
        <f>SUM('All_India_Index_Upto_April23 (1'!$V21:$X21)</f>
        <v>325.10000000000002</v>
      </c>
      <c r="K21">
        <f>SUM('All_India_Index_Upto_April23 (1'!$Y21:$AA21)</f>
        <v>318.89999999999998</v>
      </c>
      <c r="L21">
        <f>SUM('All_India_Index_Upto_April23 (1'!$AB21:$AD21)</f>
        <v>320.10000000000002</v>
      </c>
      <c r="M21">
        <v>111</v>
      </c>
    </row>
    <row r="22" spans="1:13" x14ac:dyDescent="0.3">
      <c r="A22" s="5" t="s">
        <v>24</v>
      </c>
      <c r="B22" s="78"/>
      <c r="D22" t="s">
        <v>29</v>
      </c>
      <c r="E22">
        <v>2013</v>
      </c>
      <c r="F22" t="s">
        <v>36</v>
      </c>
      <c r="G22">
        <f>SUM('All_India_Index_Upto_April23 (1'!$E22:$Q22)</f>
        <v>1489.4</v>
      </c>
      <c r="H22">
        <f>SUM('All_India_Index_Upto_April23 (1'!R22)</f>
        <v>111.7</v>
      </c>
      <c r="I22">
        <f>SUM('All_India_Index_Upto_April23 (1'!$S22:$U22)</f>
        <v>327.10000000000002</v>
      </c>
      <c r="J22">
        <f>SUM('All_India_Index_Upto_April23 (1'!$V22:$X22)</f>
        <v>324.39999999999998</v>
      </c>
      <c r="K22">
        <f>SUM('All_India_Index_Upto_April23 (1'!$Y22:$AA22)</f>
        <v>320.39999999999998</v>
      </c>
      <c r="L22">
        <f>SUM('All_India_Index_Upto_April23 (1'!$AB22:$AD22)</f>
        <v>320.5</v>
      </c>
      <c r="M22">
        <v>111.4</v>
      </c>
    </row>
    <row r="23" spans="1:13" x14ac:dyDescent="0.3">
      <c r="A23" s="5" t="s">
        <v>46</v>
      </c>
      <c r="B23" s="78"/>
      <c r="D23" t="s">
        <v>27</v>
      </c>
      <c r="E23">
        <v>2013</v>
      </c>
      <c r="F23" t="s">
        <v>37</v>
      </c>
      <c r="G23">
        <f>SUM('All_India_Index_Upto_April23 (1'!$E23:$Q23)</f>
        <v>1462.5</v>
      </c>
      <c r="H23">
        <f>SUM('All_India_Index_Upto_April23 (1'!R23)</f>
        <v>110.7</v>
      </c>
      <c r="I23">
        <f>SUM('All_India_Index_Upto_April23 (1'!$S23:$U23)</f>
        <v>332.6</v>
      </c>
      <c r="J23">
        <f>SUM('All_India_Index_Upto_April23 (1'!$V23:$X23)</f>
        <v>327.5</v>
      </c>
      <c r="K23">
        <f>SUM('All_India_Index_Upto_April23 (1'!$Y23:$AA23)</f>
        <v>321.2</v>
      </c>
      <c r="L23">
        <f>SUM('All_India_Index_Upto_April23 (1'!$AB23:$AD23)</f>
        <v>322.10000000000002</v>
      </c>
      <c r="M23">
        <v>112.1</v>
      </c>
    </row>
    <row r="24" spans="1:13" x14ac:dyDescent="0.3">
      <c r="A24" s="7" t="s">
        <v>22</v>
      </c>
      <c r="B24" s="78" t="s">
        <v>25</v>
      </c>
      <c r="D24" t="s">
        <v>30</v>
      </c>
      <c r="E24">
        <v>2013</v>
      </c>
      <c r="F24" t="s">
        <v>37</v>
      </c>
      <c r="G24">
        <f>SUM('All_India_Index_Upto_April23 (1'!$E24:$Q24)</f>
        <v>1477.4</v>
      </c>
      <c r="H24">
        <f>SUM('All_India_Index_Upto_April23 (1'!R24)</f>
        <v>111.2</v>
      </c>
      <c r="I24">
        <f>SUM('All_India_Index_Upto_April23 (1'!$S24:$U24)</f>
        <v>331.1</v>
      </c>
      <c r="J24">
        <f>SUM('All_India_Index_Upto_April23 (1'!$V24:$X24)</f>
        <v>327.3</v>
      </c>
      <c r="K24">
        <f>SUM('All_India_Index_Upto_April23 (1'!$Y24:$AA24)</f>
        <v>322.8</v>
      </c>
      <c r="L24">
        <f>SUM('All_India_Index_Upto_April23 (1'!$AB24:$AD24)</f>
        <v>322.5</v>
      </c>
      <c r="M24">
        <v>112.4</v>
      </c>
    </row>
    <row r="25" spans="1:13" x14ac:dyDescent="0.3">
      <c r="A25" s="7" t="s">
        <v>23</v>
      </c>
      <c r="B25" s="78"/>
      <c r="D25" t="s">
        <v>29</v>
      </c>
      <c r="E25">
        <v>2013</v>
      </c>
      <c r="F25" t="s">
        <v>37</v>
      </c>
      <c r="G25">
        <f>SUM('All_India_Index_Upto_April23 (1'!$E25:$Q25)</f>
        <v>1506.1000000000001</v>
      </c>
      <c r="H25">
        <f>SUM('All_India_Index_Upto_April23 (1'!R25)</f>
        <v>112.4</v>
      </c>
      <c r="I25">
        <f>SUM('All_India_Index_Upto_April23 (1'!$S25:$U25)</f>
        <v>329.09999999999997</v>
      </c>
      <c r="J25">
        <f>SUM('All_India_Index_Upto_April23 (1'!$V25:$X25)</f>
        <v>326.89999999999998</v>
      </c>
      <c r="K25">
        <f>SUM('All_India_Index_Upto_April23 (1'!$Y25:$AA25)</f>
        <v>324.39999999999998</v>
      </c>
      <c r="L25">
        <f>SUM('All_India_Index_Upto_April23 (1'!$AB25:$AD25)</f>
        <v>322.89999999999998</v>
      </c>
      <c r="M25">
        <v>112.7</v>
      </c>
    </row>
    <row r="26" spans="1:13" x14ac:dyDescent="0.3">
      <c r="A26" s="7" t="s">
        <v>25</v>
      </c>
      <c r="B26" s="78"/>
      <c r="D26" t="s">
        <v>27</v>
      </c>
      <c r="E26">
        <v>2013</v>
      </c>
      <c r="F26" t="s">
        <v>38</v>
      </c>
      <c r="G26">
        <f>SUM('All_India_Index_Upto_April23 (1'!$E26:$Q26)</f>
        <v>1488.5000000000002</v>
      </c>
      <c r="H26">
        <f>SUM('All_India_Index_Upto_April23 (1'!R26)</f>
        <v>111.7</v>
      </c>
      <c r="I26">
        <f>SUM('All_India_Index_Upto_April23 (1'!$S26:$U26)</f>
        <v>336.6</v>
      </c>
      <c r="J26">
        <f>SUM('All_India_Index_Upto_April23 (1'!$V26:$X26)</f>
        <v>330.4</v>
      </c>
      <c r="K26">
        <f>SUM('All_India_Index_Upto_April23 (1'!$Y26:$AA26)</f>
        <v>324.8</v>
      </c>
      <c r="L26">
        <f>SUM('All_India_Index_Upto_April23 (1'!$AB26:$AD26)</f>
        <v>325.7</v>
      </c>
      <c r="M26">
        <v>114.2</v>
      </c>
    </row>
    <row r="27" spans="1:13" x14ac:dyDescent="0.3">
      <c r="D27" t="s">
        <v>30</v>
      </c>
      <c r="E27">
        <v>2013</v>
      </c>
      <c r="F27" t="s">
        <v>38</v>
      </c>
      <c r="G27">
        <f>SUM('All_India_Index_Upto_April23 (1'!$E27:$Q27)</f>
        <v>1491.6999999999998</v>
      </c>
      <c r="H27">
        <f>SUM('All_India_Index_Upto_April23 (1'!R27)</f>
        <v>112</v>
      </c>
      <c r="I27">
        <f>SUM('All_India_Index_Upto_April23 (1'!$S27:$U27)</f>
        <v>334.5</v>
      </c>
      <c r="J27">
        <f>SUM('All_India_Index_Upto_April23 (1'!$V27:$X27)</f>
        <v>329.79999999999995</v>
      </c>
      <c r="K27">
        <f>SUM('All_India_Index_Upto_April23 (1'!$Y27:$AA27)</f>
        <v>325.5</v>
      </c>
      <c r="L27">
        <f>SUM('All_India_Index_Upto_April23 (1'!$AB27:$AD27)</f>
        <v>326.39999999999998</v>
      </c>
      <c r="M27">
        <v>113.7</v>
      </c>
    </row>
    <row r="28" spans="1:13" x14ac:dyDescent="0.3">
      <c r="D28" t="s">
        <v>29</v>
      </c>
      <c r="E28">
        <v>2013</v>
      </c>
      <c r="F28" t="s">
        <v>38</v>
      </c>
      <c r="G28">
        <f>SUM('All_India_Index_Upto_April23 (1'!$E28:$Q28)</f>
        <v>1500.4</v>
      </c>
      <c r="H28">
        <f>SUM('All_India_Index_Upto_April23 (1'!R28)</f>
        <v>112.9</v>
      </c>
      <c r="I28">
        <f>SUM('All_India_Index_Upto_April23 (1'!$S28:$U28)</f>
        <v>331.5</v>
      </c>
      <c r="J28">
        <f>SUM('All_India_Index_Upto_April23 (1'!$V28:$X28)</f>
        <v>328.79999999999995</v>
      </c>
      <c r="K28">
        <f>SUM('All_India_Index_Upto_April23 (1'!$Y28:$AA28)</f>
        <v>326</v>
      </c>
      <c r="L28">
        <f>SUM('All_India_Index_Upto_April23 (1'!$AB28:$AD28)</f>
        <v>327.20000000000005</v>
      </c>
      <c r="M28">
        <v>113.2</v>
      </c>
    </row>
    <row r="29" spans="1:13" x14ac:dyDescent="0.3">
      <c r="D29" t="s">
        <v>27</v>
      </c>
      <c r="E29">
        <v>2013</v>
      </c>
      <c r="F29" t="s">
        <v>39</v>
      </c>
      <c r="G29">
        <f>SUM('All_India_Index_Upto_April23 (1'!$E29:$Q29)</f>
        <v>1508</v>
      </c>
      <c r="H29">
        <f>SUM('All_India_Index_Upto_April23 (1'!R29)</f>
        <v>112.2</v>
      </c>
      <c r="I29">
        <f>SUM('All_India_Index_Upto_April23 (1'!$S29:$U29)</f>
        <v>339.29999999999995</v>
      </c>
      <c r="J29">
        <f>SUM('All_India_Index_Upto_April23 (1'!$V29:$X29)</f>
        <v>332.5</v>
      </c>
      <c r="K29">
        <f>SUM('All_India_Index_Upto_April23 (1'!$Y29:$AA29)</f>
        <v>326.60000000000002</v>
      </c>
      <c r="L29">
        <f>SUM('All_India_Index_Upto_April23 (1'!$AB29:$AD29)</f>
        <v>326.7</v>
      </c>
      <c r="M29">
        <v>115.5</v>
      </c>
    </row>
    <row r="30" spans="1:13" x14ac:dyDescent="0.3">
      <c r="D30" t="s">
        <v>30</v>
      </c>
      <c r="E30">
        <v>2013</v>
      </c>
      <c r="F30" t="s">
        <v>39</v>
      </c>
      <c r="G30">
        <f>SUM('All_India_Index_Upto_April23 (1'!$E30:$Q30)</f>
        <v>1510.2000000000003</v>
      </c>
      <c r="H30">
        <f>SUM('All_India_Index_Upto_April23 (1'!R30)</f>
        <v>112.5</v>
      </c>
      <c r="I30">
        <f>SUM('All_India_Index_Upto_April23 (1'!$S30:$U30)</f>
        <v>337.2</v>
      </c>
      <c r="J30">
        <f>SUM('All_India_Index_Upto_April23 (1'!$V30:$X30)</f>
        <v>331.7</v>
      </c>
      <c r="K30">
        <f>SUM('All_India_Index_Upto_April23 (1'!$Y30:$AA30)</f>
        <v>326.8</v>
      </c>
      <c r="L30">
        <f>SUM('All_India_Index_Upto_April23 (1'!$AB30:$AD30)</f>
        <v>326.8</v>
      </c>
      <c r="M30">
        <v>114.8</v>
      </c>
    </row>
    <row r="31" spans="1:13" x14ac:dyDescent="0.3">
      <c r="D31" t="s">
        <v>29</v>
      </c>
      <c r="E31">
        <v>2013</v>
      </c>
      <c r="F31" t="s">
        <v>39</v>
      </c>
      <c r="G31">
        <f>SUM('All_India_Index_Upto_April23 (1'!$E31:$Q31)</f>
        <v>1517.1999999999998</v>
      </c>
      <c r="H31">
        <f>SUM('All_India_Index_Upto_April23 (1'!R31)</f>
        <v>113.5</v>
      </c>
      <c r="I31">
        <f>SUM('All_India_Index_Upto_April23 (1'!$S31:$U31)</f>
        <v>334.2</v>
      </c>
      <c r="J31">
        <f>SUM('All_India_Index_Upto_April23 (1'!$V31:$X31)</f>
        <v>330.4</v>
      </c>
      <c r="K31">
        <f>SUM('All_India_Index_Upto_April23 (1'!$Y31:$AA31)</f>
        <v>326.8</v>
      </c>
      <c r="L31">
        <f>SUM('All_India_Index_Upto_April23 (1'!$AB31:$AD31)</f>
        <v>327.10000000000002</v>
      </c>
      <c r="M31">
        <v>114</v>
      </c>
    </row>
    <row r="32" spans="1:13" x14ac:dyDescent="0.3">
      <c r="D32" t="s">
        <v>27</v>
      </c>
      <c r="E32">
        <v>2013</v>
      </c>
      <c r="F32" t="s">
        <v>40</v>
      </c>
      <c r="G32">
        <f>SUM('All_India_Index_Upto_April23 (1'!$E32:$Q32)</f>
        <v>1536.8</v>
      </c>
      <c r="H32">
        <f>SUM('All_India_Index_Upto_April23 (1'!R32)</f>
        <v>112.8</v>
      </c>
      <c r="I32">
        <f>SUM('All_India_Index_Upto_April23 (1'!$S32:$U32)</f>
        <v>342.1</v>
      </c>
      <c r="J32">
        <f>SUM('All_India_Index_Upto_April23 (1'!$V32:$X32)</f>
        <v>335</v>
      </c>
      <c r="K32">
        <f>SUM('All_India_Index_Upto_April23 (1'!$Y32:$AA32)</f>
        <v>328.9</v>
      </c>
      <c r="L32">
        <f>SUM('All_India_Index_Upto_April23 (1'!$AB32:$AD32)</f>
        <v>328.1</v>
      </c>
      <c r="M32">
        <v>117.4</v>
      </c>
    </row>
    <row r="33" spans="4:13" x14ac:dyDescent="0.3">
      <c r="D33" t="s">
        <v>30</v>
      </c>
      <c r="E33">
        <v>2013</v>
      </c>
      <c r="F33" t="s">
        <v>41</v>
      </c>
      <c r="G33">
        <f>SUM('All_India_Index_Upto_April23 (1'!$E33:$Q33)</f>
        <v>1538.8</v>
      </c>
      <c r="H33">
        <f>SUM('All_India_Index_Upto_April23 (1'!R33)</f>
        <v>113.1</v>
      </c>
      <c r="I33">
        <f>SUM('All_India_Index_Upto_April23 (1'!$S33:$U33)</f>
        <v>339.90000000000003</v>
      </c>
      <c r="J33">
        <f>SUM('All_India_Index_Upto_April23 (1'!$V33:$X33)</f>
        <v>333.79999999999995</v>
      </c>
      <c r="K33">
        <f>SUM('All_India_Index_Upto_April23 (1'!$Y33:$AA33)</f>
        <v>328.59999999999997</v>
      </c>
      <c r="L33">
        <f>SUM('All_India_Index_Upto_April23 (1'!$AB33:$AD33)</f>
        <v>327.8</v>
      </c>
      <c r="M33">
        <v>116.3</v>
      </c>
    </row>
    <row r="34" spans="4:13" x14ac:dyDescent="0.3">
      <c r="D34" t="s">
        <v>29</v>
      </c>
      <c r="E34">
        <v>2013</v>
      </c>
      <c r="F34" t="s">
        <v>41</v>
      </c>
      <c r="G34">
        <f>SUM('All_India_Index_Upto_April23 (1'!$E34:$Q34)</f>
        <v>1544.6</v>
      </c>
      <c r="H34">
        <f>SUM('All_India_Index_Upto_April23 (1'!R34)</f>
        <v>114.1</v>
      </c>
      <c r="I34">
        <f>SUM('All_India_Index_Upto_April23 (1'!$S34:$U34)</f>
        <v>336.8</v>
      </c>
      <c r="J34">
        <f>SUM('All_India_Index_Upto_April23 (1'!$V34:$X34)</f>
        <v>332</v>
      </c>
      <c r="K34">
        <f>SUM('All_India_Index_Upto_April23 (1'!$Y34:$AA34)</f>
        <v>327.8</v>
      </c>
      <c r="L34">
        <f>SUM('All_India_Index_Upto_April23 (1'!$AB34:$AD34)</f>
        <v>327.60000000000002</v>
      </c>
      <c r="M34">
        <v>115</v>
      </c>
    </row>
    <row r="35" spans="4:13" x14ac:dyDescent="0.3">
      <c r="D35" t="s">
        <v>27</v>
      </c>
      <c r="E35">
        <v>2013</v>
      </c>
      <c r="F35" t="s">
        <v>42</v>
      </c>
      <c r="G35">
        <f>SUM('All_India_Index_Upto_April23 (1'!$E35:$Q35)</f>
        <v>1509</v>
      </c>
      <c r="H35">
        <f>SUM('All_India_Index_Upto_April23 (1'!R35)</f>
        <v>113.6</v>
      </c>
      <c r="I35">
        <f>SUM('All_India_Index_Upto_April23 (1'!$S35:$U35)</f>
        <v>345.3</v>
      </c>
      <c r="J35">
        <f>SUM('All_India_Index_Upto_April23 (1'!$V35:$X35)</f>
        <v>335.6</v>
      </c>
      <c r="K35">
        <f>SUM('All_India_Index_Upto_April23 (1'!$Y35:$AA35)</f>
        <v>329.79999999999995</v>
      </c>
      <c r="L35">
        <f>SUM('All_India_Index_Upto_April23 (1'!$AB35:$AD35)</f>
        <v>329.20000000000005</v>
      </c>
      <c r="M35">
        <v>115.5</v>
      </c>
    </row>
    <row r="36" spans="4:13" x14ac:dyDescent="0.3">
      <c r="D36" t="s">
        <v>30</v>
      </c>
      <c r="E36">
        <v>2013</v>
      </c>
      <c r="F36" t="s">
        <v>42</v>
      </c>
      <c r="G36">
        <f>SUM('All_India_Index_Upto_April23 (1'!$E36:$Q36)</f>
        <v>1507.3000000000002</v>
      </c>
      <c r="H36">
        <f>SUM('All_India_Index_Upto_April23 (1'!R36)</f>
        <v>114</v>
      </c>
      <c r="I36">
        <f>SUM('All_India_Index_Upto_April23 (1'!$S36:$U36)</f>
        <v>342.7</v>
      </c>
      <c r="J36">
        <f>SUM('All_India_Index_Upto_April23 (1'!$V36:$X36)</f>
        <v>334.3</v>
      </c>
      <c r="K36">
        <f>SUM('All_India_Index_Upto_April23 (1'!$Y36:$AA36)</f>
        <v>329.1</v>
      </c>
      <c r="L36">
        <f>SUM('All_India_Index_Upto_April23 (1'!$AB36:$AD36)</f>
        <v>328.8</v>
      </c>
      <c r="M36">
        <v>114.5</v>
      </c>
    </row>
    <row r="37" spans="4:13" x14ac:dyDescent="0.3">
      <c r="D37" t="s">
        <v>29</v>
      </c>
      <c r="E37">
        <v>2013</v>
      </c>
      <c r="F37" t="s">
        <v>42</v>
      </c>
      <c r="G37">
        <f>SUM('All_India_Index_Upto_April23 (1'!$E37:$Q37)</f>
        <v>1504.4</v>
      </c>
      <c r="H37">
        <f>SUM('All_India_Index_Upto_April23 (1'!R37)</f>
        <v>115</v>
      </c>
      <c r="I37">
        <f>SUM('All_India_Index_Upto_April23 (1'!$S37:$U37)</f>
        <v>338.8</v>
      </c>
      <c r="J37">
        <f>SUM('All_India_Index_Upto_April23 (1'!$V37:$X37)</f>
        <v>332.40000000000003</v>
      </c>
      <c r="K37">
        <f>SUM('All_India_Index_Upto_April23 (1'!$Y37:$AA37)</f>
        <v>328.1</v>
      </c>
      <c r="L37">
        <f>SUM('All_India_Index_Upto_April23 (1'!$AB37:$AD37)</f>
        <v>328.40000000000003</v>
      </c>
      <c r="M37">
        <v>113.3</v>
      </c>
    </row>
    <row r="38" spans="4:13" x14ac:dyDescent="0.3">
      <c r="D38" t="s">
        <v>27</v>
      </c>
      <c r="E38">
        <v>2014</v>
      </c>
      <c r="F38" t="s">
        <v>28</v>
      </c>
      <c r="G38">
        <f>SUM('All_India_Index_Upto_April23 (1'!$E38:$Q38)</f>
        <v>1486.6000000000001</v>
      </c>
      <c r="H38">
        <f>SUM('All_India_Index_Upto_April23 (1'!R38)</f>
        <v>114</v>
      </c>
      <c r="I38">
        <f>SUM('All_India_Index_Upto_April23 (1'!$S38:$U38)</f>
        <v>347.2</v>
      </c>
      <c r="J38">
        <f>SUM('All_India_Index_Upto_April23 (1'!$V38:$X38)</f>
        <v>337.2</v>
      </c>
      <c r="K38">
        <f>SUM('All_India_Index_Upto_April23 (1'!$Y38:$AA38)</f>
        <v>330.7</v>
      </c>
      <c r="L38">
        <f>SUM('All_India_Index_Upto_April23 (1'!$AB38:$AD38)</f>
        <v>330.7</v>
      </c>
      <c r="M38">
        <v>114.2</v>
      </c>
    </row>
    <row r="39" spans="4:13" x14ac:dyDescent="0.3">
      <c r="D39" t="s">
        <v>30</v>
      </c>
      <c r="E39">
        <v>2014</v>
      </c>
      <c r="F39" t="s">
        <v>28</v>
      </c>
      <c r="G39">
        <f>SUM('All_India_Index_Upto_April23 (1'!$E39:$Q39)</f>
        <v>1485.7999999999997</v>
      </c>
      <c r="H39">
        <f>SUM('All_India_Index_Upto_April23 (1'!R39)</f>
        <v>114.5</v>
      </c>
      <c r="I39">
        <f>SUM('All_India_Index_Upto_April23 (1'!$S39:$U39)</f>
        <v>344.4</v>
      </c>
      <c r="J39">
        <f>SUM('All_India_Index_Upto_April23 (1'!$V39:$X39)</f>
        <v>336.1</v>
      </c>
      <c r="K39">
        <f>SUM('All_India_Index_Upto_April23 (1'!$Y39:$AA39)</f>
        <v>330.1</v>
      </c>
      <c r="L39">
        <f>SUM('All_India_Index_Upto_April23 (1'!$AB39:$AD39)</f>
        <v>331</v>
      </c>
      <c r="M39">
        <v>113.6</v>
      </c>
    </row>
    <row r="40" spans="4:13" x14ac:dyDescent="0.3">
      <c r="D40" t="s">
        <v>29</v>
      </c>
      <c r="E40">
        <v>2014</v>
      </c>
      <c r="F40" t="s">
        <v>28</v>
      </c>
      <c r="G40">
        <f>SUM('All_India_Index_Upto_April23 (1'!$E40:$Q40)</f>
        <v>1484.3</v>
      </c>
      <c r="H40">
        <f>SUM('All_India_Index_Upto_April23 (1'!R40)</f>
        <v>115.7</v>
      </c>
      <c r="I40">
        <f>SUM('All_India_Index_Upto_April23 (1'!$S40:$U40)</f>
        <v>340.4</v>
      </c>
      <c r="J40">
        <f>SUM('All_India_Index_Upto_April23 (1'!$V40:$X40)</f>
        <v>334.5</v>
      </c>
      <c r="K40">
        <f>SUM('All_India_Index_Upto_April23 (1'!$Y40:$AA40)</f>
        <v>329.2</v>
      </c>
      <c r="L40">
        <f>SUM('All_India_Index_Upto_April23 (1'!$AB40:$AD40)</f>
        <v>331.1</v>
      </c>
      <c r="M40">
        <v>112.9</v>
      </c>
    </row>
    <row r="41" spans="4:13" x14ac:dyDescent="0.3">
      <c r="D41" t="s">
        <v>27</v>
      </c>
      <c r="E41">
        <v>2014</v>
      </c>
      <c r="F41" t="s">
        <v>31</v>
      </c>
      <c r="G41">
        <f>SUM('All_India_Index_Upto_April23 (1'!$E41:$Q41)</f>
        <v>1482.2</v>
      </c>
      <c r="H41">
        <f>SUM('All_India_Index_Upto_April23 (1'!R41)</f>
        <v>114.2</v>
      </c>
      <c r="I41">
        <f>SUM('All_India_Index_Upto_April23 (1'!$S41:$U41)</f>
        <v>348.3</v>
      </c>
      <c r="J41">
        <f>SUM('All_India_Index_Upto_April23 (1'!$V41:$X41)</f>
        <v>338.6</v>
      </c>
      <c r="K41">
        <f>SUM('All_India_Index_Upto_April23 (1'!$Y41:$AA41)</f>
        <v>331.6</v>
      </c>
      <c r="L41">
        <f>SUM('All_India_Index_Upto_April23 (1'!$AB41:$AD41)</f>
        <v>331.6</v>
      </c>
      <c r="M41">
        <v>114</v>
      </c>
    </row>
    <row r="42" spans="4:13" x14ac:dyDescent="0.3">
      <c r="D42" t="s">
        <v>30</v>
      </c>
      <c r="E42">
        <v>2014</v>
      </c>
      <c r="F42" t="s">
        <v>31</v>
      </c>
      <c r="G42">
        <f>SUM('All_India_Index_Upto_April23 (1'!$E42:$Q42)</f>
        <v>1480.1</v>
      </c>
      <c r="H42">
        <f>SUM('All_India_Index_Upto_April23 (1'!R42)</f>
        <v>114.7</v>
      </c>
      <c r="I42">
        <f>SUM('All_India_Index_Upto_April23 (1'!$S42:$U42)</f>
        <v>345.6</v>
      </c>
      <c r="J42">
        <f>SUM('All_India_Index_Upto_April23 (1'!$V42:$X42)</f>
        <v>337.7</v>
      </c>
      <c r="K42">
        <f>SUM('All_India_Index_Upto_April23 (1'!$Y42:$AA42)</f>
        <v>331.2</v>
      </c>
      <c r="L42">
        <f>SUM('All_India_Index_Upto_April23 (1'!$AB42:$AD42)</f>
        <v>332.1</v>
      </c>
      <c r="M42">
        <v>113.6</v>
      </c>
    </row>
    <row r="43" spans="4:13" x14ac:dyDescent="0.3">
      <c r="D43" t="s">
        <v>29</v>
      </c>
      <c r="E43">
        <v>2014</v>
      </c>
      <c r="F43" t="s">
        <v>31</v>
      </c>
      <c r="G43">
        <f>SUM('All_India_Index_Upto_April23 (1'!$E43:$Q43)</f>
        <v>1476</v>
      </c>
      <c r="H43">
        <f>SUM('All_India_Index_Upto_April23 (1'!R43)</f>
        <v>116.2</v>
      </c>
      <c r="I43">
        <f>SUM('All_India_Index_Upto_April23 (1'!$S43:$U43)</f>
        <v>341.7</v>
      </c>
      <c r="J43">
        <f>SUM('All_India_Index_Upto_April23 (1'!$V43:$X43)</f>
        <v>336.2</v>
      </c>
      <c r="K43">
        <f>SUM('All_India_Index_Upto_April23 (1'!$Y43:$AA43)</f>
        <v>330.70000000000005</v>
      </c>
      <c r="L43">
        <f>SUM('All_India_Index_Upto_April23 (1'!$AB43:$AD43)</f>
        <v>332.6</v>
      </c>
      <c r="M43">
        <v>113.1</v>
      </c>
    </row>
    <row r="44" spans="4:13" x14ac:dyDescent="0.3">
      <c r="D44" t="s">
        <v>27</v>
      </c>
      <c r="E44">
        <v>2014</v>
      </c>
      <c r="F44" t="s">
        <v>32</v>
      </c>
      <c r="G44">
        <f>SUM('All_India_Index_Upto_April23 (1'!$E44:$Q44)</f>
        <v>1491.4</v>
      </c>
      <c r="H44">
        <f>SUM('All_India_Index_Upto_April23 (1'!R44)</f>
        <v>114.6</v>
      </c>
      <c r="I44">
        <f>SUM('All_India_Index_Upto_April23 (1'!$S44:$U44)</f>
        <v>349.6</v>
      </c>
      <c r="J44">
        <f>SUM('All_India_Index_Upto_April23 (1'!$V44:$X44)</f>
        <v>340</v>
      </c>
      <c r="K44">
        <f>SUM('All_India_Index_Upto_April23 (1'!$Y44:$AA44)</f>
        <v>332.70000000000005</v>
      </c>
      <c r="L44">
        <f>SUM('All_India_Index_Upto_April23 (1'!$AB44:$AD44)</f>
        <v>332.7</v>
      </c>
      <c r="M44">
        <v>114.6</v>
      </c>
    </row>
    <row r="45" spans="4:13" x14ac:dyDescent="0.3">
      <c r="D45" t="s">
        <v>30</v>
      </c>
      <c r="E45">
        <v>2014</v>
      </c>
      <c r="F45" t="s">
        <v>43</v>
      </c>
      <c r="G45">
        <f>SUM('All_India_Index_Upto_April23 (1'!$E45:$Q45)</f>
        <v>1488.2999999999997</v>
      </c>
      <c r="H45">
        <f>SUM('All_India_Index_Upto_April23 (1'!R45)</f>
        <v>115.2</v>
      </c>
      <c r="I45">
        <f>SUM('All_India_Index_Upto_April23 (1'!$S45:$U45)</f>
        <v>346.9</v>
      </c>
      <c r="J45">
        <f>SUM('All_India_Index_Upto_April23 (1'!$V45:$X45)</f>
        <v>338.9</v>
      </c>
      <c r="K45">
        <f>SUM('All_India_Index_Upto_April23 (1'!$Y45:$AA45)</f>
        <v>332.2</v>
      </c>
      <c r="L45">
        <f>SUM('All_India_Index_Upto_April23 (1'!$AB45:$AD45)</f>
        <v>333.3</v>
      </c>
      <c r="M45">
        <v>114.2</v>
      </c>
    </row>
    <row r="46" spans="4:13" x14ac:dyDescent="0.3">
      <c r="D46" t="s">
        <v>29</v>
      </c>
      <c r="E46">
        <v>2014</v>
      </c>
      <c r="F46" t="s">
        <v>32</v>
      </c>
      <c r="G46">
        <f>SUM('All_India_Index_Upto_April23 (1'!$E46:$Q46)</f>
        <v>1483</v>
      </c>
      <c r="H46">
        <f>SUM('All_India_Index_Upto_April23 (1'!R46)</f>
        <v>116.7</v>
      </c>
      <c r="I46">
        <f>SUM('All_India_Index_Upto_April23 (1'!$S46:$U46)</f>
        <v>343.09999999999997</v>
      </c>
      <c r="J46">
        <f>SUM('All_India_Index_Upto_April23 (1'!$V46:$X46)</f>
        <v>337.1</v>
      </c>
      <c r="K46">
        <f>SUM('All_India_Index_Upto_April23 (1'!$Y46:$AA46)</f>
        <v>331.8</v>
      </c>
      <c r="L46">
        <f>SUM('All_India_Index_Upto_April23 (1'!$AB46:$AD46)</f>
        <v>333.9</v>
      </c>
      <c r="M46">
        <v>113.7</v>
      </c>
    </row>
    <row r="47" spans="4:13" x14ac:dyDescent="0.3">
      <c r="D47" t="s">
        <v>27</v>
      </c>
      <c r="E47">
        <v>2014</v>
      </c>
      <c r="F47" t="s">
        <v>33</v>
      </c>
      <c r="G47">
        <f>SUM('All_India_Index_Upto_April23 (1'!$E47:$Q47)</f>
        <v>1504.1000000000001</v>
      </c>
      <c r="H47">
        <f>SUM('All_India_Index_Upto_April23 (1'!R47)</f>
        <v>115.4</v>
      </c>
      <c r="I47">
        <f>SUM('All_India_Index_Upto_April23 (1'!$S47:$U47)</f>
        <v>352</v>
      </c>
      <c r="J47">
        <f>SUM('All_India_Index_Upto_April23 (1'!$V47:$X47)</f>
        <v>341</v>
      </c>
      <c r="K47">
        <f>SUM('All_India_Index_Upto_April23 (1'!$Y47:$AA47)</f>
        <v>333.7</v>
      </c>
      <c r="L47">
        <f>SUM('All_India_Index_Upto_April23 (1'!$AB47:$AD47)</f>
        <v>333.2</v>
      </c>
      <c r="M47">
        <v>115.4</v>
      </c>
    </row>
    <row r="48" spans="4:13" x14ac:dyDescent="0.3">
      <c r="D48" t="s">
        <v>30</v>
      </c>
      <c r="E48">
        <v>2014</v>
      </c>
      <c r="F48" t="s">
        <v>33</v>
      </c>
      <c r="G48">
        <f>SUM('All_India_Index_Upto_April23 (1'!$E48:$Q48)</f>
        <v>1504.1</v>
      </c>
      <c r="H48">
        <f>SUM('All_India_Index_Upto_April23 (1'!R48)</f>
        <v>116</v>
      </c>
      <c r="I48">
        <f>SUM('All_India_Index_Upto_April23 (1'!$S48:$U48)</f>
        <v>349</v>
      </c>
      <c r="J48">
        <f>SUM('All_India_Index_Upto_April23 (1'!$V48:$X48)</f>
        <v>340</v>
      </c>
      <c r="K48">
        <f>SUM('All_India_Index_Upto_April23 (1'!$Y48:$AA48)</f>
        <v>333.2</v>
      </c>
      <c r="L48">
        <f>SUM('All_India_Index_Upto_April23 (1'!$AB48:$AD48)</f>
        <v>333.6</v>
      </c>
      <c r="M48">
        <v>115.1</v>
      </c>
    </row>
    <row r="49" spans="4:13" x14ac:dyDescent="0.3">
      <c r="D49" t="s">
        <v>29</v>
      </c>
      <c r="E49">
        <v>2014</v>
      </c>
      <c r="F49" t="s">
        <v>33</v>
      </c>
      <c r="G49">
        <f>SUM('All_India_Index_Upto_April23 (1'!$E49:$Q49)</f>
        <v>1504.0000000000002</v>
      </c>
      <c r="H49">
        <f>SUM('All_India_Index_Upto_April23 (1'!R49)</f>
        <v>117.6</v>
      </c>
      <c r="I49">
        <f>SUM('All_India_Index_Upto_April23 (1'!$S49:$U49)</f>
        <v>344.5</v>
      </c>
      <c r="J49">
        <f>SUM('All_India_Index_Upto_April23 (1'!$V49:$X49)</f>
        <v>338.20000000000005</v>
      </c>
      <c r="K49">
        <f>SUM('All_India_Index_Upto_April23 (1'!$Y49:$AA49)</f>
        <v>332.6</v>
      </c>
      <c r="L49">
        <f>SUM('All_India_Index_Upto_April23 (1'!$AB49:$AD49)</f>
        <v>333.8</v>
      </c>
      <c r="M49">
        <v>114.7</v>
      </c>
    </row>
    <row r="50" spans="4:13" x14ac:dyDescent="0.3">
      <c r="D50" t="s">
        <v>27</v>
      </c>
      <c r="E50">
        <v>2014</v>
      </c>
      <c r="F50" t="s">
        <v>34</v>
      </c>
      <c r="G50">
        <f>SUM('All_India_Index_Upto_April23 (1'!$E50:$Q50)</f>
        <v>1513.8999999999999</v>
      </c>
      <c r="H50">
        <f>SUM('All_India_Index_Upto_April23 (1'!R50)</f>
        <v>116.3</v>
      </c>
      <c r="I50">
        <f>SUM('All_India_Index_Upto_April23 (1'!$S50:$U50)</f>
        <v>354</v>
      </c>
      <c r="J50">
        <f>SUM('All_India_Index_Upto_April23 (1'!$V50:$X50)</f>
        <v>341.79999999999995</v>
      </c>
      <c r="K50">
        <f>SUM('All_India_Index_Upto_April23 (1'!$Y50:$AA50)</f>
        <v>334.1</v>
      </c>
      <c r="L50">
        <f>SUM('All_India_Index_Upto_April23 (1'!$AB50:$AD50)</f>
        <v>334.1</v>
      </c>
      <c r="M50">
        <v>116</v>
      </c>
    </row>
    <row r="51" spans="4:13" x14ac:dyDescent="0.3">
      <c r="D51" t="s">
        <v>30</v>
      </c>
      <c r="E51">
        <v>2014</v>
      </c>
      <c r="F51" t="s">
        <v>34</v>
      </c>
      <c r="G51">
        <f>SUM('All_India_Index_Upto_April23 (1'!$E51:$Q51)</f>
        <v>1518.5000000000005</v>
      </c>
      <c r="H51">
        <f>SUM('All_India_Index_Upto_April23 (1'!R51)</f>
        <v>116.8</v>
      </c>
      <c r="I51">
        <f>SUM('All_India_Index_Upto_April23 (1'!$S51:$U51)</f>
        <v>350.79999999999995</v>
      </c>
      <c r="J51">
        <f>SUM('All_India_Index_Upto_April23 (1'!$V51:$X51)</f>
        <v>340.9</v>
      </c>
      <c r="K51">
        <f>SUM('All_India_Index_Upto_April23 (1'!$Y51:$AA51)</f>
        <v>333.9</v>
      </c>
      <c r="L51">
        <f>SUM('All_India_Index_Upto_April23 (1'!$AB51:$AD51)</f>
        <v>334.3</v>
      </c>
      <c r="M51">
        <v>115.8</v>
      </c>
    </row>
    <row r="52" spans="4:13" x14ac:dyDescent="0.3">
      <c r="D52" t="s">
        <v>29</v>
      </c>
      <c r="E52">
        <v>2014</v>
      </c>
      <c r="F52" t="s">
        <v>34</v>
      </c>
      <c r="G52">
        <f>SUM('All_India_Index_Upto_April23 (1'!$E52:$Q52)</f>
        <v>1525.3000000000002</v>
      </c>
      <c r="H52">
        <f>SUM('All_India_Index_Upto_April23 (1'!R52)</f>
        <v>118.3</v>
      </c>
      <c r="I52">
        <f>SUM('All_India_Index_Upto_April23 (1'!$S52:$U52)</f>
        <v>345.9</v>
      </c>
      <c r="J52">
        <f>SUM('All_India_Index_Upto_April23 (1'!$V52:$X52)</f>
        <v>339.5</v>
      </c>
      <c r="K52">
        <f>SUM('All_India_Index_Upto_April23 (1'!$Y52:$AA52)</f>
        <v>333.4</v>
      </c>
      <c r="L52">
        <f>SUM('All_India_Index_Upto_April23 (1'!$AB52:$AD52)</f>
        <v>334.5</v>
      </c>
      <c r="M52">
        <v>115.6</v>
      </c>
    </row>
    <row r="53" spans="4:13" x14ac:dyDescent="0.3">
      <c r="D53" t="s">
        <v>27</v>
      </c>
      <c r="E53">
        <v>2014</v>
      </c>
      <c r="F53" t="s">
        <v>35</v>
      </c>
      <c r="G53">
        <f>SUM('All_India_Index_Upto_April23 (1'!$E53:$Q53)</f>
        <v>1525.6999999999998</v>
      </c>
      <c r="H53">
        <f>SUM('All_India_Index_Upto_April23 (1'!R53)</f>
        <v>117.3</v>
      </c>
      <c r="I53">
        <f>SUM('All_India_Index_Upto_April23 (1'!$S53:$U53)</f>
        <v>356.3</v>
      </c>
      <c r="J53">
        <f>SUM('All_India_Index_Upto_April23 (1'!$V53:$X53)</f>
        <v>343.20000000000005</v>
      </c>
      <c r="K53">
        <f>SUM('All_India_Index_Upto_April23 (1'!$Y53:$AA53)</f>
        <v>335.1</v>
      </c>
      <c r="L53">
        <f>SUM('All_India_Index_Upto_April23 (1'!$AB53:$AD53)</f>
        <v>335.90000000000003</v>
      </c>
      <c r="M53">
        <v>117</v>
      </c>
    </row>
    <row r="54" spans="4:13" x14ac:dyDescent="0.3">
      <c r="D54" t="s">
        <v>30</v>
      </c>
      <c r="E54">
        <v>2014</v>
      </c>
      <c r="F54" t="s">
        <v>35</v>
      </c>
      <c r="G54">
        <f>SUM('All_India_Index_Upto_April23 (1'!$E54:$Q54)</f>
        <v>1533.7000000000003</v>
      </c>
      <c r="H54">
        <f>SUM('All_India_Index_Upto_April23 (1'!R54)</f>
        <v>117.8</v>
      </c>
      <c r="I54">
        <f>SUM('All_India_Index_Upto_April23 (1'!$S54:$U54)</f>
        <v>352.7</v>
      </c>
      <c r="J54">
        <f>SUM('All_India_Index_Upto_April23 (1'!$V54:$X54)</f>
        <v>341.70000000000005</v>
      </c>
      <c r="K54">
        <f>SUM('All_India_Index_Upto_April23 (1'!$Y54:$AA54)</f>
        <v>335.4</v>
      </c>
      <c r="L54">
        <f>SUM('All_India_Index_Upto_April23 (1'!$AB54:$AD54)</f>
        <v>335.7</v>
      </c>
      <c r="M54">
        <v>116.7</v>
      </c>
    </row>
    <row r="55" spans="4:13" x14ac:dyDescent="0.3">
      <c r="D55" t="s">
        <v>29</v>
      </c>
      <c r="E55">
        <v>2014</v>
      </c>
      <c r="F55" t="s">
        <v>35</v>
      </c>
      <c r="G55">
        <f>SUM('All_India_Index_Upto_April23 (1'!$E55:$Q55)</f>
        <v>1547</v>
      </c>
      <c r="H55">
        <f>SUM('All_India_Index_Upto_April23 (1'!R55)</f>
        <v>119</v>
      </c>
      <c r="I55">
        <f>SUM('All_India_Index_Upto_April23 (1'!$S55:$U55)</f>
        <v>347.3</v>
      </c>
      <c r="J55">
        <f>SUM('All_India_Index_Upto_April23 (1'!$V55:$X55)</f>
        <v>339.40000000000003</v>
      </c>
      <c r="K55">
        <f>SUM('All_India_Index_Upto_April23 (1'!$Y55:$AA55)</f>
        <v>335.20000000000005</v>
      </c>
      <c r="L55">
        <f>SUM('All_India_Index_Upto_April23 (1'!$AB55:$AD55)</f>
        <v>335.5</v>
      </c>
      <c r="M55">
        <v>116.4</v>
      </c>
    </row>
    <row r="56" spans="4:13" x14ac:dyDescent="0.3">
      <c r="D56" t="s">
        <v>27</v>
      </c>
      <c r="E56">
        <v>2014</v>
      </c>
      <c r="F56" t="s">
        <v>36</v>
      </c>
      <c r="G56">
        <f>SUM('All_India_Index_Upto_April23 (1'!$E56:$Q56)</f>
        <v>1563.2</v>
      </c>
      <c r="H56">
        <f>SUM('All_India_Index_Upto_April23 (1'!R56)</f>
        <v>118</v>
      </c>
      <c r="I56">
        <f>SUM('All_India_Index_Upto_April23 (1'!$S56:$U56)</f>
        <v>359.3</v>
      </c>
      <c r="J56">
        <f>SUM('All_India_Index_Upto_April23 (1'!$V56:$X56)</f>
        <v>345.5</v>
      </c>
      <c r="K56">
        <f>SUM('All_India_Index_Upto_April23 (1'!$Y56:$AA56)</f>
        <v>337.7</v>
      </c>
      <c r="L56">
        <f>SUM('All_India_Index_Upto_April23 (1'!$AB56:$AD56)</f>
        <v>338.1</v>
      </c>
      <c r="M56">
        <v>119.5</v>
      </c>
    </row>
    <row r="57" spans="4:13" x14ac:dyDescent="0.3">
      <c r="D57" t="s">
        <v>30</v>
      </c>
      <c r="E57">
        <v>2014</v>
      </c>
      <c r="F57" t="s">
        <v>36</v>
      </c>
      <c r="G57">
        <f>SUM('All_India_Index_Upto_April23 (1'!$E57:$Q57)</f>
        <v>1576.3</v>
      </c>
      <c r="H57">
        <f>SUM('All_India_Index_Upto_April23 (1'!R57)</f>
        <v>118.8</v>
      </c>
      <c r="I57">
        <f>SUM('All_India_Index_Upto_April23 (1'!$S57:$U57)</f>
        <v>355</v>
      </c>
      <c r="J57">
        <f>SUM('All_India_Index_Upto_April23 (1'!$V57:$X57)</f>
        <v>343.9</v>
      </c>
      <c r="K57">
        <f>SUM('All_India_Index_Upto_April23 (1'!$Y57:$AA57)</f>
        <v>338.7</v>
      </c>
      <c r="L57">
        <f>SUM('All_India_Index_Upto_April23 (1'!$AB57:$AD57)</f>
        <v>338.5</v>
      </c>
      <c r="M57">
        <v>119.2</v>
      </c>
    </row>
    <row r="58" spans="4:13" x14ac:dyDescent="0.3">
      <c r="D58" t="s">
        <v>29</v>
      </c>
      <c r="E58">
        <v>2014</v>
      </c>
      <c r="F58" t="s">
        <v>36</v>
      </c>
      <c r="G58">
        <f>SUM('All_India_Index_Upto_April23 (1'!$E58:$Q58)</f>
        <v>1599.5</v>
      </c>
      <c r="H58">
        <f>SUM('All_India_Index_Upto_April23 (1'!R58)</f>
        <v>121</v>
      </c>
      <c r="I58">
        <f>SUM('All_India_Index_Upto_April23 (1'!$S58:$U58)</f>
        <v>349</v>
      </c>
      <c r="J58">
        <f>SUM('All_India_Index_Upto_April23 (1'!$V58:$X58)</f>
        <v>341.29999999999995</v>
      </c>
      <c r="K58">
        <f>SUM('All_India_Index_Upto_April23 (1'!$Y58:$AA58)</f>
        <v>339</v>
      </c>
      <c r="L58">
        <f>SUM('All_India_Index_Upto_April23 (1'!$AB58:$AD58)</f>
        <v>338.9</v>
      </c>
      <c r="M58">
        <v>118.9</v>
      </c>
    </row>
    <row r="59" spans="4:13" x14ac:dyDescent="0.3">
      <c r="D59" t="s">
        <v>27</v>
      </c>
      <c r="E59">
        <v>2014</v>
      </c>
      <c r="F59" t="s">
        <v>37</v>
      </c>
      <c r="G59">
        <f>SUM('All_India_Index_Upto_April23 (1'!$E59:$Q59)</f>
        <v>1582.2999999999997</v>
      </c>
      <c r="H59">
        <f>SUM('All_India_Index_Upto_April23 (1'!R59)</f>
        <v>118.8</v>
      </c>
      <c r="I59">
        <f>SUM('All_India_Index_Upto_April23 (1'!$S59:$U59)</f>
        <v>360.4</v>
      </c>
      <c r="J59">
        <f>SUM('All_India_Index_Upto_April23 (1'!$V59:$X59)</f>
        <v>346.8</v>
      </c>
      <c r="K59">
        <f>SUM('All_India_Index_Upto_April23 (1'!$Y59:$AA59)</f>
        <v>339.6</v>
      </c>
      <c r="L59">
        <f>SUM('All_India_Index_Upto_April23 (1'!$AB59:$AD59)</f>
        <v>338.9</v>
      </c>
      <c r="M59">
        <v>120.7</v>
      </c>
    </row>
    <row r="60" spans="4:13" x14ac:dyDescent="0.3">
      <c r="D60" t="s">
        <v>30</v>
      </c>
      <c r="E60">
        <v>2014</v>
      </c>
      <c r="F60" t="s">
        <v>37</v>
      </c>
      <c r="G60">
        <f>SUM('All_India_Index_Upto_April23 (1'!$E60:$Q60)</f>
        <v>1594.4999999999998</v>
      </c>
      <c r="H60">
        <f>SUM('All_India_Index_Upto_April23 (1'!R60)</f>
        <v>119.9</v>
      </c>
      <c r="I60">
        <f>SUM('All_India_Index_Upto_April23 (1'!$S60:$U60)</f>
        <v>356.4</v>
      </c>
      <c r="J60">
        <f>SUM('All_India_Index_Upto_April23 (1'!$V60:$X60)</f>
        <v>345.1</v>
      </c>
      <c r="K60">
        <f>SUM('All_India_Index_Upto_April23 (1'!$Y60:$AA60)</f>
        <v>341.2</v>
      </c>
      <c r="L60">
        <f>SUM('All_India_Index_Upto_April23 (1'!$AB60:$AD60)</f>
        <v>339.09999999999997</v>
      </c>
      <c r="M60">
        <v>120.3</v>
      </c>
    </row>
    <row r="61" spans="4:13" x14ac:dyDescent="0.3">
      <c r="D61" t="s">
        <v>29</v>
      </c>
      <c r="E61">
        <v>2014</v>
      </c>
      <c r="F61" t="s">
        <v>37</v>
      </c>
      <c r="G61">
        <f>SUM('All_India_Index_Upto_April23 (1'!$E61:$Q61)</f>
        <v>1617</v>
      </c>
      <c r="H61">
        <f>SUM('All_India_Index_Upto_April23 (1'!R61)</f>
        <v>123</v>
      </c>
      <c r="I61">
        <f>SUM('All_India_Index_Upto_April23 (1'!$S61:$U61)</f>
        <v>350.6</v>
      </c>
      <c r="J61">
        <f>SUM('All_India_Index_Upto_April23 (1'!$V61:$X61)</f>
        <v>342.6</v>
      </c>
      <c r="K61">
        <f>SUM('All_India_Index_Upto_April23 (1'!$Y61:$AA61)</f>
        <v>341.9</v>
      </c>
      <c r="L61">
        <f>SUM('All_India_Index_Upto_April23 (1'!$AB61:$AD61)</f>
        <v>339.3</v>
      </c>
      <c r="M61">
        <v>119.9</v>
      </c>
    </row>
    <row r="62" spans="4:13" x14ac:dyDescent="0.3">
      <c r="D62" t="s">
        <v>27</v>
      </c>
      <c r="E62">
        <v>2014</v>
      </c>
      <c r="F62" t="s">
        <v>38</v>
      </c>
      <c r="G62">
        <f>SUM('All_India_Index_Upto_April23 (1'!$E62:$Q62)</f>
        <v>1583.2</v>
      </c>
      <c r="H62">
        <f>SUM('All_India_Index_Upto_April23 (1'!R62)</f>
        <v>119.5</v>
      </c>
      <c r="I62">
        <f>SUM('All_India_Index_Upto_April23 (1'!$S62:$U62)</f>
        <v>362.2</v>
      </c>
      <c r="J62">
        <f>SUM('All_India_Index_Upto_April23 (1'!$V62:$X62)</f>
        <v>348.59999999999997</v>
      </c>
      <c r="K62">
        <f>SUM('All_India_Index_Upto_April23 (1'!$Y62:$AA62)</f>
        <v>340.2</v>
      </c>
      <c r="L62">
        <f>SUM('All_India_Index_Upto_April23 (1'!$AB62:$AD62)</f>
        <v>339.09999999999997</v>
      </c>
      <c r="M62">
        <v>120.9</v>
      </c>
    </row>
    <row r="63" spans="4:13" x14ac:dyDescent="0.3">
      <c r="D63" t="s">
        <v>30</v>
      </c>
      <c r="E63">
        <v>2014</v>
      </c>
      <c r="F63" t="s">
        <v>38</v>
      </c>
      <c r="G63">
        <f>SUM('All_India_Index_Upto_April23 (1'!$E63:$Q63)</f>
        <v>1586.0999999999997</v>
      </c>
      <c r="H63">
        <f>SUM('All_India_Index_Upto_April23 (1'!R63)</f>
        <v>120.8</v>
      </c>
      <c r="I63">
        <f>SUM('All_India_Index_Upto_April23 (1'!$S63:$U63)</f>
        <v>358</v>
      </c>
      <c r="J63">
        <f>SUM('All_India_Index_Upto_April23 (1'!$V63:$X63)</f>
        <v>346.5</v>
      </c>
      <c r="K63">
        <f>SUM('All_India_Index_Upto_April23 (1'!$Y63:$AA63)</f>
        <v>341.79999999999995</v>
      </c>
      <c r="L63">
        <f>SUM('All_India_Index_Upto_April23 (1'!$AB63:$AD63)</f>
        <v>338.8</v>
      </c>
      <c r="M63">
        <v>120.1</v>
      </c>
    </row>
    <row r="64" spans="4:13" x14ac:dyDescent="0.3">
      <c r="D64" t="s">
        <v>29</v>
      </c>
      <c r="E64">
        <v>2014</v>
      </c>
      <c r="F64" t="s">
        <v>38</v>
      </c>
      <c r="G64">
        <f>SUM('All_India_Index_Upto_April23 (1'!$E64:$Q64)</f>
        <v>1593.7000000000003</v>
      </c>
      <c r="H64">
        <f>SUM('All_India_Index_Upto_April23 (1'!R64)</f>
        <v>124.3</v>
      </c>
      <c r="I64">
        <f>SUM('All_India_Index_Upto_April23 (1'!$S64:$U64)</f>
        <v>352.1</v>
      </c>
      <c r="J64">
        <f>SUM('All_India_Index_Upto_April23 (1'!$V64:$X64)</f>
        <v>343.4</v>
      </c>
      <c r="K64">
        <f>SUM('All_India_Index_Upto_April23 (1'!$Y64:$AA64)</f>
        <v>342.3</v>
      </c>
      <c r="L64">
        <f>SUM('All_India_Index_Upto_April23 (1'!$AB64:$AD64)</f>
        <v>338.20000000000005</v>
      </c>
      <c r="M64">
        <v>119.2</v>
      </c>
    </row>
    <row r="65" spans="4:13" x14ac:dyDescent="0.3">
      <c r="D65" t="s">
        <v>27</v>
      </c>
      <c r="E65">
        <v>2014</v>
      </c>
      <c r="F65" t="s">
        <v>39</v>
      </c>
      <c r="G65">
        <f>SUM('All_India_Index_Upto_April23 (1'!$E65:$Q65)</f>
        <v>1581.1999999999998</v>
      </c>
      <c r="H65">
        <f>SUM('All_India_Index_Upto_April23 (1'!R65)</f>
        <v>120</v>
      </c>
      <c r="I65">
        <f>SUM('All_India_Index_Upto_April23 (1'!$S65:$U65)</f>
        <v>365.3</v>
      </c>
      <c r="J65">
        <f>SUM('All_India_Index_Upto_April23 (1'!$V65:$X65)</f>
        <v>350.6</v>
      </c>
      <c r="K65">
        <f>SUM('All_India_Index_Upto_April23 (1'!$Y65:$AA65)</f>
        <v>341.5</v>
      </c>
      <c r="L65">
        <f>SUM('All_India_Index_Upto_April23 (1'!$AB65:$AD65)</f>
        <v>339.6</v>
      </c>
      <c r="M65">
        <v>121</v>
      </c>
    </row>
    <row r="66" spans="4:13" x14ac:dyDescent="0.3">
      <c r="D66" t="s">
        <v>30</v>
      </c>
      <c r="E66">
        <v>2014</v>
      </c>
      <c r="F66" t="s">
        <v>39</v>
      </c>
      <c r="G66">
        <f>SUM('All_India_Index_Upto_April23 (1'!$E66:$Q66)</f>
        <v>1582.7</v>
      </c>
      <c r="H66">
        <f>SUM('All_India_Index_Upto_April23 (1'!R66)</f>
        <v>121.1</v>
      </c>
      <c r="I66">
        <f>SUM('All_India_Index_Upto_April23 (1'!$S66:$U66)</f>
        <v>360.6</v>
      </c>
      <c r="J66">
        <f>SUM('All_India_Index_Upto_April23 (1'!$V66:$X66)</f>
        <v>348.1</v>
      </c>
      <c r="K66">
        <f>SUM('All_India_Index_Upto_April23 (1'!$Y66:$AA66)</f>
        <v>342.7</v>
      </c>
      <c r="L66">
        <f>SUM('All_India_Index_Upto_April23 (1'!$AB66:$AD66)</f>
        <v>339</v>
      </c>
      <c r="M66">
        <v>120.1</v>
      </c>
    </row>
    <row r="67" spans="4:13" x14ac:dyDescent="0.3">
      <c r="D67" t="s">
        <v>29</v>
      </c>
      <c r="E67">
        <v>2014</v>
      </c>
      <c r="F67" t="s">
        <v>39</v>
      </c>
      <c r="G67">
        <f>SUM('All_India_Index_Upto_April23 (1'!$E67:$Q67)</f>
        <v>1587.5</v>
      </c>
      <c r="H67">
        <f>SUM('All_India_Index_Upto_April23 (1'!R67)</f>
        <v>124.3</v>
      </c>
      <c r="I67">
        <f>SUM('All_India_Index_Upto_April23 (1'!$S67:$U67)</f>
        <v>353.4</v>
      </c>
      <c r="J67">
        <f>SUM('All_India_Index_Upto_April23 (1'!$V67:$X67)</f>
        <v>344.5</v>
      </c>
      <c r="K67">
        <f>SUM('All_India_Index_Upto_April23 (1'!$Y67:$AA67)</f>
        <v>342.9</v>
      </c>
      <c r="L67">
        <f>SUM('All_India_Index_Upto_April23 (1'!$AB67:$AD67)</f>
        <v>338.3</v>
      </c>
      <c r="M67">
        <v>119.1</v>
      </c>
    </row>
    <row r="68" spans="4:13" x14ac:dyDescent="0.3">
      <c r="D68" t="s">
        <v>27</v>
      </c>
      <c r="E68">
        <v>2014</v>
      </c>
      <c r="F68" t="s">
        <v>41</v>
      </c>
      <c r="G68">
        <f>SUM('All_India_Index_Upto_April23 (1'!$E68:$Q68)</f>
        <v>1582</v>
      </c>
      <c r="H68">
        <f>SUM('All_India_Index_Upto_April23 (1'!R68)</f>
        <v>120.8</v>
      </c>
      <c r="I68">
        <f>SUM('All_India_Index_Upto_April23 (1'!$S68:$U68)</f>
        <v>366.70000000000005</v>
      </c>
      <c r="J68">
        <f>SUM('All_India_Index_Upto_April23 (1'!$V68:$X68)</f>
        <v>352.5</v>
      </c>
      <c r="K68">
        <f>SUM('All_India_Index_Upto_April23 (1'!$Y68:$AA68)</f>
        <v>341.9</v>
      </c>
      <c r="L68">
        <f>SUM('All_India_Index_Upto_April23 (1'!$AB68:$AD68)</f>
        <v>339.4</v>
      </c>
      <c r="M68">
        <v>121.1</v>
      </c>
    </row>
    <row r="69" spans="4:13" x14ac:dyDescent="0.3">
      <c r="D69" t="s">
        <v>30</v>
      </c>
      <c r="E69">
        <v>2014</v>
      </c>
      <c r="F69" t="s">
        <v>41</v>
      </c>
      <c r="G69">
        <f>SUM('All_India_Index_Upto_April23 (1'!$E69:$Q69)</f>
        <v>1583.2</v>
      </c>
      <c r="H69">
        <f>SUM('All_India_Index_Upto_April23 (1'!R69)</f>
        <v>122.1</v>
      </c>
      <c r="I69">
        <f>SUM('All_India_Index_Upto_April23 (1'!$S69:$U69)</f>
        <v>362.1</v>
      </c>
      <c r="J69">
        <f>SUM('All_India_Index_Upto_April23 (1'!$V69:$X69)</f>
        <v>349.9</v>
      </c>
      <c r="K69">
        <f>SUM('All_India_Index_Upto_April23 (1'!$Y69:$AA69)</f>
        <v>342.9</v>
      </c>
      <c r="L69">
        <f>SUM('All_India_Index_Upto_April23 (1'!$AB69:$AD69)</f>
        <v>338.3</v>
      </c>
      <c r="M69">
        <v>120.1</v>
      </c>
    </row>
    <row r="70" spans="4:13" x14ac:dyDescent="0.3">
      <c r="D70" t="s">
        <v>29</v>
      </c>
      <c r="E70">
        <v>2014</v>
      </c>
      <c r="F70" t="s">
        <v>41</v>
      </c>
      <c r="G70">
        <f>SUM('All_India_Index_Upto_April23 (1'!$E70:$Q70)</f>
        <v>1587.8</v>
      </c>
      <c r="H70">
        <f>SUM('All_India_Index_Upto_April23 (1'!R70)</f>
        <v>125.8</v>
      </c>
      <c r="I70">
        <f>SUM('All_India_Index_Upto_April23 (1'!$S70:$U70)</f>
        <v>355.2</v>
      </c>
      <c r="J70">
        <f>SUM('All_India_Index_Upto_April23 (1'!$V70:$X70)</f>
        <v>346.1</v>
      </c>
      <c r="K70">
        <f>SUM('All_India_Index_Upto_April23 (1'!$Y70:$AA70)</f>
        <v>342.9</v>
      </c>
      <c r="L70">
        <f>SUM('All_India_Index_Upto_April23 (1'!$AB70:$AD70)</f>
        <v>337.1</v>
      </c>
      <c r="M70">
        <v>119</v>
      </c>
    </row>
    <row r="71" spans="4:13" x14ac:dyDescent="0.3">
      <c r="D71" t="s">
        <v>27</v>
      </c>
      <c r="E71">
        <v>2014</v>
      </c>
      <c r="F71" t="s">
        <v>42</v>
      </c>
      <c r="G71">
        <f>SUM('All_India_Index_Upto_April23 (1'!$E71:$Q71)</f>
        <v>1569.6</v>
      </c>
      <c r="H71">
        <f>SUM('All_India_Index_Upto_April23 (1'!R71)</f>
        <v>121.7</v>
      </c>
      <c r="I71">
        <f>SUM('All_India_Index_Upto_April23 (1'!$S71:$U71)</f>
        <v>367.7</v>
      </c>
      <c r="J71">
        <f>SUM('All_India_Index_Upto_April23 (1'!$V71:$X71)</f>
        <v>352.1</v>
      </c>
      <c r="K71">
        <f>SUM('All_India_Index_Upto_April23 (1'!$Y71:$AA71)</f>
        <v>343.3</v>
      </c>
      <c r="L71">
        <f>SUM('All_India_Index_Upto_April23 (1'!$AB71:$AD71)</f>
        <v>339</v>
      </c>
      <c r="M71">
        <v>120.3</v>
      </c>
    </row>
    <row r="72" spans="4:13" x14ac:dyDescent="0.3">
      <c r="D72" t="s">
        <v>30</v>
      </c>
      <c r="E72">
        <v>2014</v>
      </c>
      <c r="F72" t="s">
        <v>42</v>
      </c>
      <c r="G72">
        <f>SUM('All_India_Index_Upto_April23 (1'!$E72:$Q72)</f>
        <v>1571.6999999999998</v>
      </c>
      <c r="H72">
        <f>SUM('All_India_Index_Upto_April23 (1'!R72)</f>
        <v>123</v>
      </c>
      <c r="I72">
        <f>SUM('All_India_Index_Upto_April23 (1'!$S72:$U72)</f>
        <v>363.2</v>
      </c>
      <c r="J72">
        <f>SUM('All_India_Index_Upto_April23 (1'!$V72:$X72)</f>
        <v>349.7</v>
      </c>
      <c r="K72">
        <f>SUM('All_India_Index_Upto_April23 (1'!$Y72:$AA72)</f>
        <v>344.4</v>
      </c>
      <c r="L72">
        <f>SUM('All_India_Index_Upto_April23 (1'!$AB72:$AD72)</f>
        <v>337.8</v>
      </c>
      <c r="M72">
        <v>119.4</v>
      </c>
    </row>
    <row r="73" spans="4:13" x14ac:dyDescent="0.3">
      <c r="D73" t="s">
        <v>29</v>
      </c>
      <c r="E73">
        <v>2014</v>
      </c>
      <c r="F73" t="s">
        <v>42</v>
      </c>
      <c r="G73">
        <f>SUM('All_India_Index_Upto_April23 (1'!$E73:$Q73)</f>
        <v>1577.1999999999998</v>
      </c>
      <c r="H73">
        <f>SUM('All_India_Index_Upto_April23 (1'!R73)</f>
        <v>126.4</v>
      </c>
      <c r="I73">
        <f>SUM('All_India_Index_Upto_April23 (1'!$S73:$U73)</f>
        <v>356.5</v>
      </c>
      <c r="J73">
        <f>SUM('All_India_Index_Upto_April23 (1'!$V73:$X73)</f>
        <v>346.3</v>
      </c>
      <c r="K73">
        <f>SUM('All_India_Index_Upto_April23 (1'!$Y73:$AA73)</f>
        <v>344.3</v>
      </c>
      <c r="L73">
        <f>SUM('All_India_Index_Upto_April23 (1'!$AB73:$AD73)</f>
        <v>336.5</v>
      </c>
      <c r="M73">
        <v>118.4</v>
      </c>
    </row>
    <row r="74" spans="4:13" x14ac:dyDescent="0.3">
      <c r="D74" t="s">
        <v>27</v>
      </c>
      <c r="E74">
        <v>2015</v>
      </c>
      <c r="F74" t="s">
        <v>28</v>
      </c>
      <c r="G74">
        <f>SUM('All_India_Index_Upto_April23 (1'!$E74:$Q74)</f>
        <v>1568.1</v>
      </c>
      <c r="H74">
        <f>SUM('All_India_Index_Upto_April23 (1'!R74)</f>
        <v>122.7</v>
      </c>
      <c r="I74">
        <f>SUM('All_India_Index_Upto_April23 (1'!$S74:$U74)</f>
        <v>370</v>
      </c>
      <c r="J74">
        <f>SUM('All_India_Index_Upto_April23 (1'!$V74:$X74)</f>
        <v>354.6</v>
      </c>
      <c r="K74">
        <f>SUM('All_India_Index_Upto_April23 (1'!$Y74:$AA74)</f>
        <v>345</v>
      </c>
      <c r="L74">
        <f>SUM('All_India_Index_Upto_April23 (1'!$AB74:$AD74)</f>
        <v>339.5</v>
      </c>
      <c r="M74">
        <v>120.3</v>
      </c>
    </row>
    <row r="75" spans="4:13" x14ac:dyDescent="0.3">
      <c r="D75" t="s">
        <v>30</v>
      </c>
      <c r="E75">
        <v>2015</v>
      </c>
      <c r="F75" t="s">
        <v>28</v>
      </c>
      <c r="G75">
        <f>SUM('All_India_Index_Upto_April23 (1'!$E75:$Q75)</f>
        <v>1569.3</v>
      </c>
      <c r="H75">
        <f>SUM('All_India_Index_Upto_April23 (1'!R75)</f>
        <v>124</v>
      </c>
      <c r="I75">
        <f>SUM('All_India_Index_Upto_April23 (1'!$S75:$U75)</f>
        <v>364.9</v>
      </c>
      <c r="J75">
        <f>SUM('All_India_Index_Upto_April23 (1'!$V75:$X75)</f>
        <v>351.9</v>
      </c>
      <c r="K75">
        <f>SUM('All_India_Index_Upto_April23 (1'!$Y75:$AA75)</f>
        <v>345.9</v>
      </c>
      <c r="L75">
        <f>SUM('All_India_Index_Upto_April23 (1'!$AB75:$AD75)</f>
        <v>337.7</v>
      </c>
      <c r="M75">
        <v>119.5</v>
      </c>
    </row>
    <row r="76" spans="4:13" x14ac:dyDescent="0.3">
      <c r="D76" t="s">
        <v>29</v>
      </c>
      <c r="E76">
        <v>2015</v>
      </c>
      <c r="F76" t="s">
        <v>28</v>
      </c>
      <c r="G76">
        <f>SUM('All_India_Index_Upto_April23 (1'!$E76:$Q76)</f>
        <v>1574.8999999999999</v>
      </c>
      <c r="H76">
        <f>SUM('All_India_Index_Upto_April23 (1'!R76)</f>
        <v>127.4</v>
      </c>
      <c r="I76">
        <f>SUM('All_India_Index_Upto_April23 (1'!$S76:$U76)</f>
        <v>357.3</v>
      </c>
      <c r="J76">
        <f>SUM('All_India_Index_Upto_April23 (1'!$V76:$X76)</f>
        <v>347.9</v>
      </c>
      <c r="K76">
        <f>SUM('All_India_Index_Upto_April23 (1'!$Y76:$AA76)</f>
        <v>345.90000000000003</v>
      </c>
      <c r="L76">
        <f>SUM('All_India_Index_Upto_April23 (1'!$AB76:$AD76)</f>
        <v>335.9</v>
      </c>
      <c r="M76">
        <v>118.5</v>
      </c>
    </row>
    <row r="77" spans="4:13" x14ac:dyDescent="0.3">
      <c r="D77" t="s">
        <v>27</v>
      </c>
      <c r="E77">
        <v>2015</v>
      </c>
      <c r="F77" t="s">
        <v>31</v>
      </c>
      <c r="G77">
        <f>SUM('All_India_Index_Upto_April23 (1'!$E77:$Q77)</f>
        <v>1570.5999999999997</v>
      </c>
      <c r="H77">
        <f>SUM('All_India_Index_Upto_April23 (1'!R77)</f>
        <v>124.2</v>
      </c>
      <c r="I77">
        <f>SUM('All_India_Index_Upto_April23 (1'!$S77:$U77)</f>
        <v>373.1</v>
      </c>
      <c r="J77">
        <f>SUM('All_India_Index_Upto_April23 (1'!$V77:$X77)</f>
        <v>357.7</v>
      </c>
      <c r="K77">
        <f>SUM('All_India_Index_Upto_April23 (1'!$Y77:$AA77)</f>
        <v>347.2</v>
      </c>
      <c r="L77">
        <f>SUM('All_India_Index_Upto_April23 (1'!$AB77:$AD77)</f>
        <v>340.7</v>
      </c>
      <c r="M77">
        <v>120.6</v>
      </c>
    </row>
    <row r="78" spans="4:13" x14ac:dyDescent="0.3">
      <c r="D78" t="s">
        <v>30</v>
      </c>
      <c r="E78">
        <v>2015</v>
      </c>
      <c r="F78" t="s">
        <v>31</v>
      </c>
      <c r="G78">
        <f>SUM('All_India_Index_Upto_April23 (1'!$E78:$Q78)</f>
        <v>1569.3999999999996</v>
      </c>
      <c r="H78">
        <f>SUM('All_India_Index_Upto_April23 (1'!R78)</f>
        <v>125.2</v>
      </c>
      <c r="I78">
        <f>SUM('All_India_Index_Upto_April23 (1'!$S78:$U78)</f>
        <v>367.2</v>
      </c>
      <c r="J78">
        <f>SUM('All_India_Index_Upto_April23 (1'!$V78:$X78)</f>
        <v>354.5</v>
      </c>
      <c r="K78">
        <f>SUM('All_India_Index_Upto_April23 (1'!$Y78:$AA78)</f>
        <v>347.2</v>
      </c>
      <c r="L78">
        <f>SUM('All_India_Index_Upto_April23 (1'!$AB78:$AD78)</f>
        <v>337.70000000000005</v>
      </c>
      <c r="M78">
        <v>119.7</v>
      </c>
    </row>
    <row r="79" spans="4:13" x14ac:dyDescent="0.3">
      <c r="D79" t="s">
        <v>29</v>
      </c>
      <c r="E79">
        <v>2015</v>
      </c>
      <c r="F79" t="s">
        <v>31</v>
      </c>
      <c r="G79">
        <f>SUM('All_India_Index_Upto_April23 (1'!$E79:$Q79)</f>
        <v>1571.1000000000001</v>
      </c>
      <c r="H79">
        <f>SUM('All_India_Index_Upto_April23 (1'!R79)</f>
        <v>128.1</v>
      </c>
      <c r="I79">
        <f>SUM('All_India_Index_Upto_April23 (1'!$S79:$U79)</f>
        <v>358.4</v>
      </c>
      <c r="J79">
        <f>SUM('All_India_Index_Upto_April23 (1'!$V79:$X79)</f>
        <v>349.8</v>
      </c>
      <c r="K79">
        <f>SUM('All_India_Index_Upto_April23 (1'!$Y79:$AA79)</f>
        <v>346.20000000000005</v>
      </c>
      <c r="L79">
        <f>SUM('All_India_Index_Upto_April23 (1'!$AB79:$AD79)</f>
        <v>334.9</v>
      </c>
      <c r="M79">
        <v>118.7</v>
      </c>
    </row>
    <row r="80" spans="4:13" x14ac:dyDescent="0.3">
      <c r="D80" t="s">
        <v>27</v>
      </c>
      <c r="E80">
        <v>2015</v>
      </c>
      <c r="F80" t="s">
        <v>32</v>
      </c>
      <c r="G80">
        <f>SUM('All_India_Index_Upto_April23 (1'!$E80:$Q80)</f>
        <v>1571.5</v>
      </c>
      <c r="H80">
        <f>SUM('All_India_Index_Upto_April23 (1'!R80)</f>
        <v>124.7</v>
      </c>
      <c r="I80">
        <f>SUM('All_India_Index_Upto_April23 (1'!$S80:$U80)</f>
        <v>374.4</v>
      </c>
      <c r="J80">
        <f>SUM('All_India_Index_Upto_April23 (1'!$V80:$X80)</f>
        <v>359.4</v>
      </c>
      <c r="K80">
        <f>SUM('All_India_Index_Upto_April23 (1'!$Y80:$AA80)</f>
        <v>348.4</v>
      </c>
      <c r="L80">
        <f>SUM('All_India_Index_Upto_April23 (1'!$AB80:$AD80)</f>
        <v>342.6</v>
      </c>
      <c r="M80">
        <v>121.1</v>
      </c>
    </row>
    <row r="81" spans="4:13" x14ac:dyDescent="0.3">
      <c r="D81" t="s">
        <v>30</v>
      </c>
      <c r="E81">
        <v>2015</v>
      </c>
      <c r="F81" t="s">
        <v>32</v>
      </c>
      <c r="G81">
        <f>SUM('All_India_Index_Upto_April23 (1'!$E81:$Q81)</f>
        <v>1569.1</v>
      </c>
      <c r="H81">
        <f>SUM('All_India_Index_Upto_April23 (1'!R81)</f>
        <v>125.8</v>
      </c>
      <c r="I81">
        <f>SUM('All_India_Index_Upto_April23 (1'!$S81:$U81)</f>
        <v>368.4</v>
      </c>
      <c r="J81">
        <f>SUM('All_India_Index_Upto_April23 (1'!$V81:$X81)</f>
        <v>356.09999999999997</v>
      </c>
      <c r="K81">
        <f>SUM('All_India_Index_Upto_April23 (1'!$Y81:$AA81)</f>
        <v>347.79999999999995</v>
      </c>
      <c r="L81">
        <f>SUM('All_India_Index_Upto_April23 (1'!$AB81:$AD81)</f>
        <v>340</v>
      </c>
      <c r="M81">
        <v>120.2</v>
      </c>
    </row>
    <row r="82" spans="4:13" x14ac:dyDescent="0.3">
      <c r="D82" t="s">
        <v>29</v>
      </c>
      <c r="E82">
        <v>2015</v>
      </c>
      <c r="F82" t="s">
        <v>32</v>
      </c>
      <c r="G82">
        <f>SUM('All_India_Index_Upto_April23 (1'!$E82:$Q82)</f>
        <v>1568.0000000000002</v>
      </c>
      <c r="H82">
        <f>SUM('All_India_Index_Upto_April23 (1'!R82)</f>
        <v>128.80000000000001</v>
      </c>
      <c r="I82">
        <f>SUM('All_India_Index_Upto_April23 (1'!$S82:$U82)</f>
        <v>359.5</v>
      </c>
      <c r="J82">
        <f>SUM('All_India_Index_Upto_April23 (1'!$V82:$X82)</f>
        <v>351</v>
      </c>
      <c r="K82">
        <f>SUM('All_India_Index_Upto_April23 (1'!$Y82:$AA82)</f>
        <v>346.2</v>
      </c>
      <c r="L82">
        <f>SUM('All_India_Index_Upto_April23 (1'!$AB82:$AD82)</f>
        <v>337.6</v>
      </c>
      <c r="M82">
        <v>119.1</v>
      </c>
    </row>
    <row r="83" spans="4:13" x14ac:dyDescent="0.3">
      <c r="D83" t="s">
        <v>27</v>
      </c>
      <c r="E83">
        <v>2015</v>
      </c>
      <c r="F83" t="s">
        <v>33</v>
      </c>
      <c r="G83">
        <f>SUM('All_India_Index_Upto_April23 (1'!$E83:$Q83)</f>
        <v>1577.2</v>
      </c>
      <c r="H83">
        <f>SUM('All_India_Index_Upto_April23 (1'!R83)</f>
        <v>125.7</v>
      </c>
      <c r="I83">
        <f>SUM('All_India_Index_Upto_April23 (1'!$S83:$U83)</f>
        <v>375.7</v>
      </c>
      <c r="J83">
        <f>SUM('All_India_Index_Upto_April23 (1'!$V83:$X83)</f>
        <v>361.3</v>
      </c>
      <c r="K83">
        <f>SUM('All_India_Index_Upto_April23 (1'!$Y83:$AA83)</f>
        <v>350.1</v>
      </c>
      <c r="L83">
        <f>SUM('All_India_Index_Upto_April23 (1'!$AB83:$AD83)</f>
        <v>344.1</v>
      </c>
      <c r="M83">
        <v>121.5</v>
      </c>
    </row>
    <row r="84" spans="4:13" x14ac:dyDescent="0.3">
      <c r="D84" t="s">
        <v>30</v>
      </c>
      <c r="E84">
        <v>2015</v>
      </c>
      <c r="F84" t="s">
        <v>33</v>
      </c>
      <c r="G84">
        <f>SUM('All_India_Index_Upto_April23 (1'!$E84:$Q84)</f>
        <v>1575.7</v>
      </c>
      <c r="H84">
        <f>SUM('All_India_Index_Upto_April23 (1'!R84)</f>
        <v>126.9</v>
      </c>
      <c r="I84">
        <f>SUM('All_India_Index_Upto_April23 (1'!$S84:$U84)</f>
        <v>369.6</v>
      </c>
      <c r="J84">
        <f>SUM('All_India_Index_Upto_April23 (1'!$V84:$X84)</f>
        <v>357.6</v>
      </c>
      <c r="K84">
        <f>SUM('All_India_Index_Upto_April23 (1'!$Y84:$AA84)</f>
        <v>349.8</v>
      </c>
      <c r="L84">
        <f>SUM('All_India_Index_Upto_April23 (1'!$AB84:$AD84)</f>
        <v>341.1</v>
      </c>
      <c r="M84">
        <v>120.7</v>
      </c>
    </row>
    <row r="85" spans="4:13" x14ac:dyDescent="0.3">
      <c r="D85" t="s">
        <v>29</v>
      </c>
      <c r="E85">
        <v>2015</v>
      </c>
      <c r="F85" t="s">
        <v>33</v>
      </c>
      <c r="G85">
        <f>SUM('All_India_Index_Upto_April23 (1'!$E85:$Q85)</f>
        <v>1576.1</v>
      </c>
      <c r="H85">
        <f>SUM('All_India_Index_Upto_April23 (1'!R85)</f>
        <v>130.1</v>
      </c>
      <c r="I85">
        <f>SUM('All_India_Index_Upto_April23 (1'!$S85:$U85)</f>
        <v>360.6</v>
      </c>
      <c r="J85">
        <f>SUM('All_India_Index_Upto_April23 (1'!$V85:$X85)</f>
        <v>352.3</v>
      </c>
      <c r="K85">
        <f>SUM('All_India_Index_Upto_April23 (1'!$Y85:$AA85)</f>
        <v>348.09999999999997</v>
      </c>
      <c r="L85">
        <f>SUM('All_India_Index_Upto_April23 (1'!$AB85:$AD85)</f>
        <v>338.2</v>
      </c>
      <c r="M85">
        <v>119.7</v>
      </c>
    </row>
    <row r="86" spans="4:13" x14ac:dyDescent="0.3">
      <c r="D86" t="s">
        <v>27</v>
      </c>
      <c r="E86">
        <v>2015</v>
      </c>
      <c r="F86" t="s">
        <v>34</v>
      </c>
      <c r="G86">
        <f>SUM('All_India_Index_Upto_April23 (1'!$E86:$Q86)</f>
        <v>1587.7</v>
      </c>
      <c r="H86">
        <f>SUM('All_India_Index_Upto_April23 (1'!R86)</f>
        <v>126.7</v>
      </c>
      <c r="I86">
        <f>SUM('All_India_Index_Upto_April23 (1'!$S86:$U86)</f>
        <v>378.2</v>
      </c>
      <c r="J86">
        <f>SUM('All_India_Index_Upto_April23 (1'!$V86:$X86)</f>
        <v>363</v>
      </c>
      <c r="K86">
        <f>SUM('All_India_Index_Upto_April23 (1'!$Y86:$AA86)</f>
        <v>352.2</v>
      </c>
      <c r="L86">
        <f>SUM('All_India_Index_Upto_April23 (1'!$AB86:$AD86)</f>
        <v>346.9</v>
      </c>
      <c r="M86">
        <v>122.4</v>
      </c>
    </row>
    <row r="87" spans="4:13" x14ac:dyDescent="0.3">
      <c r="D87" t="s">
        <v>30</v>
      </c>
      <c r="E87">
        <v>2015</v>
      </c>
      <c r="F87" t="s">
        <v>34</v>
      </c>
      <c r="G87">
        <f>SUM('All_India_Index_Upto_April23 (1'!$E87:$Q87)</f>
        <v>1590.4</v>
      </c>
      <c r="H87">
        <f>SUM('All_India_Index_Upto_April23 (1'!R87)</f>
        <v>127.9</v>
      </c>
      <c r="I87">
        <f>SUM('All_India_Index_Upto_April23 (1'!$S87:$U87)</f>
        <v>371.4</v>
      </c>
      <c r="J87">
        <f>SUM('All_India_Index_Upto_April23 (1'!$V87:$X87)</f>
        <v>359</v>
      </c>
      <c r="K87">
        <f>SUM('All_India_Index_Upto_April23 (1'!$Y87:$AA87)</f>
        <v>351.4</v>
      </c>
      <c r="L87">
        <f>SUM('All_India_Index_Upto_April23 (1'!$AB87:$AD87)</f>
        <v>344.4</v>
      </c>
      <c r="M87">
        <v>121.6</v>
      </c>
    </row>
    <row r="88" spans="4:13" x14ac:dyDescent="0.3">
      <c r="D88" t="s">
        <v>29</v>
      </c>
      <c r="E88">
        <v>2015</v>
      </c>
      <c r="F88" t="s">
        <v>34</v>
      </c>
      <c r="G88">
        <f>SUM('All_India_Index_Upto_April23 (1'!$E88:$Q88)</f>
        <v>1598.9</v>
      </c>
      <c r="H88">
        <f>SUM('All_India_Index_Upto_April23 (1'!R88)</f>
        <v>131.30000000000001</v>
      </c>
      <c r="I88">
        <f>SUM('All_India_Index_Upto_April23 (1'!$S88:$U88)</f>
        <v>361.4</v>
      </c>
      <c r="J88">
        <f>SUM('All_India_Index_Upto_April23 (1'!$V88:$X88)</f>
        <v>353.2</v>
      </c>
      <c r="K88">
        <f>SUM('All_India_Index_Upto_April23 (1'!$Y88:$AA88)</f>
        <v>349.3</v>
      </c>
      <c r="L88">
        <f>SUM('All_India_Index_Upto_April23 (1'!$AB88:$AD88)</f>
        <v>342</v>
      </c>
      <c r="M88">
        <v>120.7</v>
      </c>
    </row>
    <row r="89" spans="4:13" x14ac:dyDescent="0.3">
      <c r="D89" t="s">
        <v>27</v>
      </c>
      <c r="E89">
        <v>2015</v>
      </c>
      <c r="F89" t="s">
        <v>35</v>
      </c>
      <c r="G89">
        <f>SUM('All_India_Index_Upto_April23 (1'!$E89:$Q89)</f>
        <v>1617.8999999999999</v>
      </c>
      <c r="H89">
        <f>SUM('All_India_Index_Upto_April23 (1'!R89)</f>
        <v>128.19999999999999</v>
      </c>
      <c r="I89">
        <f>SUM('All_India_Index_Upto_April23 (1'!$S89:$U89)</f>
        <v>381.5</v>
      </c>
      <c r="J89">
        <f>SUM('All_India_Index_Upto_April23 (1'!$V89:$X89)</f>
        <v>364.4</v>
      </c>
      <c r="K89">
        <f>SUM('All_India_Index_Upto_April23 (1'!$Y89:$AA89)</f>
        <v>355.4</v>
      </c>
      <c r="L89">
        <f>SUM('All_India_Index_Upto_April23 (1'!$AB89:$AD89)</f>
        <v>350</v>
      </c>
      <c r="M89">
        <v>124.1</v>
      </c>
    </row>
    <row r="90" spans="4:13" x14ac:dyDescent="0.3">
      <c r="D90" t="s">
        <v>30</v>
      </c>
      <c r="E90">
        <v>2015</v>
      </c>
      <c r="F90" t="s">
        <v>35</v>
      </c>
      <c r="G90">
        <f>SUM('All_India_Index_Upto_April23 (1'!$E90:$Q90)</f>
        <v>1623.5</v>
      </c>
      <c r="H90">
        <f>SUM('All_India_Index_Upto_April23 (1'!R90)</f>
        <v>129.19999999999999</v>
      </c>
      <c r="I90">
        <f>SUM('All_India_Index_Upto_April23 (1'!$S90:$U90)</f>
        <v>374.1</v>
      </c>
      <c r="J90">
        <f>SUM('All_India_Index_Upto_April23 (1'!$V90:$X90)</f>
        <v>359.9</v>
      </c>
      <c r="K90">
        <f>SUM('All_India_Index_Upto_April23 (1'!$Y90:$AA90)</f>
        <v>354.4</v>
      </c>
      <c r="L90">
        <f>SUM('All_India_Index_Upto_April23 (1'!$AB90:$AD90)</f>
        <v>346.8</v>
      </c>
      <c r="M90">
        <v>123</v>
      </c>
    </row>
    <row r="91" spans="4:13" x14ac:dyDescent="0.3">
      <c r="D91" t="s">
        <v>29</v>
      </c>
      <c r="E91">
        <v>2015</v>
      </c>
      <c r="F91" t="s">
        <v>35</v>
      </c>
      <c r="G91">
        <f>SUM('All_India_Index_Upto_April23 (1'!$E91:$Q91)</f>
        <v>1636.6</v>
      </c>
      <c r="H91">
        <f>SUM('All_India_Index_Upto_April23 (1'!R91)</f>
        <v>132.1</v>
      </c>
      <c r="I91">
        <f>SUM('All_India_Index_Upto_April23 (1'!$S91:$U91)</f>
        <v>363.1</v>
      </c>
      <c r="J91">
        <f>SUM('All_India_Index_Upto_April23 (1'!$V91:$X91)</f>
        <v>353.3</v>
      </c>
      <c r="K91">
        <f>SUM('All_India_Index_Upto_April23 (1'!$Y91:$AA91)</f>
        <v>351.7</v>
      </c>
      <c r="L91">
        <f>SUM('All_India_Index_Upto_April23 (1'!$AB91:$AD91)</f>
        <v>343.9</v>
      </c>
      <c r="M91">
        <v>121.7</v>
      </c>
    </row>
    <row r="92" spans="4:13" x14ac:dyDescent="0.3">
      <c r="D92" t="s">
        <v>27</v>
      </c>
      <c r="E92">
        <v>2015</v>
      </c>
      <c r="F92" t="s">
        <v>36</v>
      </c>
      <c r="G92">
        <f>SUM('All_India_Index_Upto_April23 (1'!$E92:$Q92)</f>
        <v>1625.3</v>
      </c>
      <c r="H92">
        <f>SUM('All_India_Index_Upto_April23 (1'!R92)</f>
        <v>129.4</v>
      </c>
      <c r="I92">
        <f>SUM('All_India_Index_Upto_April23 (1'!$S92:$U92)</f>
        <v>382.6</v>
      </c>
      <c r="J92">
        <f>SUM('All_India_Index_Upto_April23 (1'!$V92:$X92)</f>
        <v>365.9</v>
      </c>
      <c r="K92">
        <f>SUM('All_India_Index_Upto_April23 (1'!$Y92:$AA92)</f>
        <v>356.4</v>
      </c>
      <c r="L92">
        <f>SUM('All_India_Index_Upto_April23 (1'!$AB92:$AD92)</f>
        <v>350.2</v>
      </c>
      <c r="M92">
        <v>124.7</v>
      </c>
    </row>
    <row r="93" spans="4:13" x14ac:dyDescent="0.3">
      <c r="D93" t="s">
        <v>30</v>
      </c>
      <c r="E93">
        <v>2015</v>
      </c>
      <c r="F93" t="s">
        <v>36</v>
      </c>
      <c r="G93">
        <f>SUM('All_India_Index_Upto_April23 (1'!$E93:$Q93)</f>
        <v>1630.6000000000001</v>
      </c>
      <c r="H93">
        <f>SUM('All_India_Index_Upto_April23 (1'!R93)</f>
        <v>130.4</v>
      </c>
      <c r="I93">
        <f>SUM('All_India_Index_Upto_April23 (1'!$S93:$U93)</f>
        <v>375.1</v>
      </c>
      <c r="J93">
        <f>SUM('All_India_Index_Upto_April23 (1'!$V93:$X93)</f>
        <v>361.3</v>
      </c>
      <c r="K93">
        <f>SUM('All_India_Index_Upto_April23 (1'!$Y93:$AA93)</f>
        <v>355.70000000000005</v>
      </c>
      <c r="L93">
        <f>SUM('All_India_Index_Upto_April23 (1'!$AB93:$AD93)</f>
        <v>347.1</v>
      </c>
      <c r="M93">
        <v>123.6</v>
      </c>
    </row>
    <row r="94" spans="4:13" x14ac:dyDescent="0.3">
      <c r="D94" t="s">
        <v>29</v>
      </c>
      <c r="E94">
        <v>2015</v>
      </c>
      <c r="F94" t="s">
        <v>36</v>
      </c>
      <c r="G94">
        <f>SUM('All_India_Index_Upto_April23 (1'!$E94:$Q94)</f>
        <v>1642.8999999999999</v>
      </c>
      <c r="H94">
        <f>SUM('All_India_Index_Upto_April23 (1'!R94)</f>
        <v>133.1</v>
      </c>
      <c r="I94">
        <f>SUM('All_India_Index_Upto_April23 (1'!$S94:$U94)</f>
        <v>364.1</v>
      </c>
      <c r="J94">
        <f>SUM('All_India_Index_Upto_April23 (1'!$V94:$X94)</f>
        <v>354.7</v>
      </c>
      <c r="K94">
        <f>SUM('All_India_Index_Upto_April23 (1'!$Y94:$AA94)</f>
        <v>353.1</v>
      </c>
      <c r="L94">
        <f>SUM('All_India_Index_Upto_April23 (1'!$AB94:$AD94)</f>
        <v>344.4</v>
      </c>
      <c r="M94">
        <v>122.4</v>
      </c>
    </row>
    <row r="95" spans="4:13" x14ac:dyDescent="0.3">
      <c r="D95" t="s">
        <v>27</v>
      </c>
      <c r="E95">
        <v>2015</v>
      </c>
      <c r="F95" t="s">
        <v>37</v>
      </c>
      <c r="G95">
        <f>SUM('All_India_Index_Upto_April23 (1'!$E95:$Q95)</f>
        <v>1646.6</v>
      </c>
      <c r="H95">
        <f>SUM('All_India_Index_Upto_April23 (1'!R95)</f>
        <v>130.1</v>
      </c>
      <c r="I95">
        <f>SUM('All_India_Index_Upto_April23 (1'!$S95:$U95)</f>
        <v>384.8</v>
      </c>
      <c r="J95">
        <f>SUM('All_India_Index_Upto_April23 (1'!$V95:$X95)</f>
        <v>368.4</v>
      </c>
      <c r="K95">
        <f>SUM('All_India_Index_Upto_April23 (1'!$Y95:$AA95)</f>
        <v>357.2</v>
      </c>
      <c r="L95">
        <f>SUM('All_India_Index_Upto_April23 (1'!$AB95:$AD95)</f>
        <v>350.3</v>
      </c>
      <c r="M95">
        <v>126.1</v>
      </c>
    </row>
    <row r="96" spans="4:13" x14ac:dyDescent="0.3">
      <c r="D96" t="s">
        <v>30</v>
      </c>
      <c r="E96">
        <v>2015</v>
      </c>
      <c r="F96" t="s">
        <v>37</v>
      </c>
      <c r="G96">
        <f>SUM('All_India_Index_Upto_April23 (1'!$E96:$Q96)</f>
        <v>1649.6</v>
      </c>
      <c r="H96">
        <f>SUM('All_India_Index_Upto_April23 (1'!R96)</f>
        <v>131.19999999999999</v>
      </c>
      <c r="I96">
        <f>SUM('All_India_Index_Upto_April23 (1'!$S96:$U96)</f>
        <v>376.70000000000005</v>
      </c>
      <c r="J96">
        <f>SUM('All_India_Index_Upto_April23 (1'!$V96:$X96)</f>
        <v>363.5</v>
      </c>
      <c r="K96">
        <f>SUM('All_India_Index_Upto_April23 (1'!$Y96:$AA96)</f>
        <v>356.79999999999995</v>
      </c>
      <c r="L96">
        <f>SUM('All_India_Index_Upto_April23 (1'!$AB96:$AD96)</f>
        <v>346.7</v>
      </c>
      <c r="M96">
        <v>124.8</v>
      </c>
    </row>
    <row r="97" spans="4:13" x14ac:dyDescent="0.3">
      <c r="D97" t="s">
        <v>29</v>
      </c>
      <c r="E97">
        <v>2015</v>
      </c>
      <c r="F97" t="s">
        <v>37</v>
      </c>
      <c r="G97">
        <f>SUM('All_India_Index_Upto_April23 (1'!$E97:$Q97)</f>
        <v>1658.8999999999999</v>
      </c>
      <c r="H97">
        <f>SUM('All_India_Index_Upto_April23 (1'!R97)</f>
        <v>134.19999999999999</v>
      </c>
      <c r="I97">
        <f>SUM('All_India_Index_Upto_April23 (1'!$S97:$U97)</f>
        <v>364.8</v>
      </c>
      <c r="J97">
        <f>SUM('All_India_Index_Upto_April23 (1'!$V97:$X97)</f>
        <v>356.2</v>
      </c>
      <c r="K97">
        <f>SUM('All_India_Index_Upto_April23 (1'!$Y97:$AA97)</f>
        <v>354.8</v>
      </c>
      <c r="L97">
        <f>SUM('All_India_Index_Upto_April23 (1'!$AB97:$AD97)</f>
        <v>343.3</v>
      </c>
      <c r="M97">
        <v>123.2</v>
      </c>
    </row>
    <row r="98" spans="4:13" x14ac:dyDescent="0.3">
      <c r="D98" t="s">
        <v>27</v>
      </c>
      <c r="E98">
        <v>2015</v>
      </c>
      <c r="F98" t="s">
        <v>38</v>
      </c>
      <c r="G98">
        <f>SUM('All_India_Index_Upto_April23 (1'!$E98:$Q98)</f>
        <v>1657.6000000000001</v>
      </c>
      <c r="H98">
        <f>SUM('All_India_Index_Upto_April23 (1'!R98)</f>
        <v>131</v>
      </c>
      <c r="I98">
        <f>SUM('All_India_Index_Upto_April23 (1'!$S98:$U98)</f>
        <v>387.1</v>
      </c>
      <c r="J98">
        <f>SUM('All_India_Index_Upto_April23 (1'!$V98:$X98)</f>
        <v>369.8</v>
      </c>
      <c r="K98">
        <f>SUM('All_India_Index_Upto_April23 (1'!$Y98:$AA98)</f>
        <v>359.6</v>
      </c>
      <c r="L98">
        <f>SUM('All_India_Index_Upto_April23 (1'!$AB98:$AD98)</f>
        <v>352.2</v>
      </c>
      <c r="M98">
        <v>127</v>
      </c>
    </row>
    <row r="99" spans="4:13" x14ac:dyDescent="0.3">
      <c r="D99" t="s">
        <v>30</v>
      </c>
      <c r="E99">
        <v>2015</v>
      </c>
      <c r="F99" t="s">
        <v>38</v>
      </c>
      <c r="G99">
        <f>SUM('All_India_Index_Upto_April23 (1'!$E99:$Q99)</f>
        <v>1658.3000000000002</v>
      </c>
      <c r="H99">
        <f>SUM('All_India_Index_Upto_April23 (1'!R99)</f>
        <v>132</v>
      </c>
      <c r="I99">
        <f>SUM('All_India_Index_Upto_April23 (1'!$S99:$U99)</f>
        <v>378.5</v>
      </c>
      <c r="J99">
        <f>SUM('All_India_Index_Upto_April23 (1'!$V99:$X99)</f>
        <v>364.6</v>
      </c>
      <c r="K99">
        <f>SUM('All_India_Index_Upto_April23 (1'!$Y99:$AA99)</f>
        <v>358.9</v>
      </c>
      <c r="L99">
        <f>SUM('All_India_Index_Upto_April23 (1'!$AB99:$AD99)</f>
        <v>347.1</v>
      </c>
      <c r="M99">
        <v>125.4</v>
      </c>
    </row>
    <row r="100" spans="4:13" x14ac:dyDescent="0.3">
      <c r="D100" t="s">
        <v>29</v>
      </c>
      <c r="E100">
        <v>2015</v>
      </c>
      <c r="F100" t="s">
        <v>38</v>
      </c>
      <c r="G100">
        <f>SUM('All_India_Index_Upto_April23 (1'!$E100:$Q100)</f>
        <v>1664.8</v>
      </c>
      <c r="H100">
        <f>SUM('All_India_Index_Upto_April23 (1'!R100)</f>
        <v>134.69999999999999</v>
      </c>
      <c r="I100">
        <f>SUM('All_India_Index_Upto_April23 (1'!$S100:$U100)</f>
        <v>365.8</v>
      </c>
      <c r="J100">
        <f>SUM('All_India_Index_Upto_April23 (1'!$V100:$X100)</f>
        <v>357.1</v>
      </c>
      <c r="K100">
        <f>SUM('All_India_Index_Upto_April23 (1'!$Y100:$AA100)</f>
        <v>356.5</v>
      </c>
      <c r="L100">
        <f>SUM('All_India_Index_Upto_April23 (1'!$AB100:$AD100)</f>
        <v>342.59999999999997</v>
      </c>
      <c r="M100">
        <v>123.5</v>
      </c>
    </row>
    <row r="101" spans="4:13" x14ac:dyDescent="0.3">
      <c r="D101" t="s">
        <v>27</v>
      </c>
      <c r="E101">
        <v>2015</v>
      </c>
      <c r="F101" t="s">
        <v>39</v>
      </c>
      <c r="G101">
        <f>SUM('All_India_Index_Upto_April23 (1'!$E101:$Q101)</f>
        <v>1674.6</v>
      </c>
      <c r="H101">
        <f>SUM('All_India_Index_Upto_April23 (1'!R101)</f>
        <v>131.5</v>
      </c>
      <c r="I101">
        <f>SUM('All_India_Index_Upto_April23 (1'!$S101:$U101)</f>
        <v>389</v>
      </c>
      <c r="J101">
        <f>SUM('All_India_Index_Upto_April23 (1'!$V101:$X101)</f>
        <v>371.9</v>
      </c>
      <c r="K101">
        <f>SUM('All_India_Index_Upto_April23 (1'!$Y101:$AA101)</f>
        <v>361.29999999999995</v>
      </c>
      <c r="L101">
        <f>SUM('All_India_Index_Upto_April23 (1'!$AB101:$AD101)</f>
        <v>353.09999999999997</v>
      </c>
      <c r="M101">
        <v>127.7</v>
      </c>
    </row>
    <row r="102" spans="4:13" x14ac:dyDescent="0.3">
      <c r="D102" t="s">
        <v>30</v>
      </c>
      <c r="E102">
        <v>2015</v>
      </c>
      <c r="F102" t="s">
        <v>39</v>
      </c>
      <c r="G102">
        <f>SUM('All_India_Index_Upto_April23 (1'!$E102:$Q102)</f>
        <v>1678.9999999999998</v>
      </c>
      <c r="H102">
        <f>SUM('All_India_Index_Upto_April23 (1'!R102)</f>
        <v>132.5</v>
      </c>
      <c r="I102">
        <f>SUM('All_India_Index_Upto_April23 (1'!$S102:$U102)</f>
        <v>380.1</v>
      </c>
      <c r="J102">
        <f>SUM('All_India_Index_Upto_April23 (1'!$V102:$X102)</f>
        <v>366.2</v>
      </c>
      <c r="K102">
        <f>SUM('All_India_Index_Upto_April23 (1'!$Y102:$AA102)</f>
        <v>360.20000000000005</v>
      </c>
      <c r="L102">
        <f>SUM('All_India_Index_Upto_April23 (1'!$AB102:$AD102)</f>
        <v>348</v>
      </c>
      <c r="M102">
        <v>126.1</v>
      </c>
    </row>
    <row r="103" spans="4:13" x14ac:dyDescent="0.3">
      <c r="D103" t="s">
        <v>29</v>
      </c>
      <c r="E103">
        <v>2015</v>
      </c>
      <c r="F103" t="s">
        <v>39</v>
      </c>
      <c r="G103">
        <f>SUM('All_India_Index_Upto_April23 (1'!$E103:$Q103)</f>
        <v>1692.8000000000002</v>
      </c>
      <c r="H103">
        <f>SUM('All_India_Index_Upto_April23 (1'!R103)</f>
        <v>135.30000000000001</v>
      </c>
      <c r="I103">
        <f>SUM('All_India_Index_Upto_April23 (1'!$S103:$U103)</f>
        <v>366.79999999999995</v>
      </c>
      <c r="J103">
        <f>SUM('All_India_Index_Upto_April23 (1'!$V103:$X103)</f>
        <v>358</v>
      </c>
      <c r="K103">
        <f>SUM('All_India_Index_Upto_April23 (1'!$Y103:$AA103)</f>
        <v>357.7</v>
      </c>
      <c r="L103">
        <f>SUM('All_India_Index_Upto_April23 (1'!$AB103:$AD103)</f>
        <v>343.5</v>
      </c>
      <c r="M103">
        <v>124.2</v>
      </c>
    </row>
    <row r="104" spans="4:13" x14ac:dyDescent="0.3">
      <c r="D104" t="s">
        <v>27</v>
      </c>
      <c r="E104">
        <v>2015</v>
      </c>
      <c r="F104" t="s">
        <v>41</v>
      </c>
      <c r="G104">
        <f>SUM('All_India_Index_Upto_April23 (1'!$E104:$Q104)</f>
        <v>1686.3</v>
      </c>
      <c r="H104">
        <f>SUM('All_India_Index_Upto_April23 (1'!R104)</f>
        <v>132.19999999999999</v>
      </c>
      <c r="I104">
        <f>SUM('All_India_Index_Upto_April23 (1'!$S104:$U104)</f>
        <v>391.79999999999995</v>
      </c>
      <c r="J104">
        <f>SUM('All_India_Index_Upto_April23 (1'!$V104:$X104)</f>
        <v>374.1</v>
      </c>
      <c r="K104">
        <f>SUM('All_India_Index_Upto_April23 (1'!$Y104:$AA104)</f>
        <v>362.6</v>
      </c>
      <c r="L104">
        <f>SUM('All_India_Index_Upto_April23 (1'!$AB104:$AD104)</f>
        <v>354.5</v>
      </c>
      <c r="M104">
        <v>128.30000000000001</v>
      </c>
    </row>
    <row r="105" spans="4:13" x14ac:dyDescent="0.3">
      <c r="D105" t="s">
        <v>30</v>
      </c>
      <c r="E105">
        <v>2015</v>
      </c>
      <c r="F105" t="s">
        <v>41</v>
      </c>
      <c r="G105">
        <f>SUM('All_India_Index_Upto_April23 (1'!$E105:$Q105)</f>
        <v>1692.1</v>
      </c>
      <c r="H105">
        <f>SUM('All_India_Index_Upto_April23 (1'!R105)</f>
        <v>133.6</v>
      </c>
      <c r="I105">
        <f>SUM('All_India_Index_Upto_April23 (1'!$S105:$U105)</f>
        <v>382.4</v>
      </c>
      <c r="J105">
        <f>SUM('All_India_Index_Upto_April23 (1'!$V105:$X105)</f>
        <v>367.9</v>
      </c>
      <c r="K105">
        <f>SUM('All_India_Index_Upto_April23 (1'!$Y105:$AA105)</f>
        <v>361</v>
      </c>
      <c r="L105">
        <f>SUM('All_India_Index_Upto_April23 (1'!$AB105:$AD105)</f>
        <v>348.79999999999995</v>
      </c>
      <c r="M105">
        <v>126.6</v>
      </c>
    </row>
    <row r="106" spans="4:13" x14ac:dyDescent="0.3">
      <c r="D106" t="s">
        <v>29</v>
      </c>
      <c r="E106">
        <v>2015</v>
      </c>
      <c r="F106" t="s">
        <v>41</v>
      </c>
      <c r="G106">
        <f>SUM('All_India_Index_Upto_April23 (1'!$E106:$Q106)</f>
        <v>1708.4999999999998</v>
      </c>
      <c r="H106">
        <f>SUM('All_India_Index_Upto_April23 (1'!R106)</f>
        <v>137.6</v>
      </c>
      <c r="I106">
        <f>SUM('All_India_Index_Upto_April23 (1'!$S106:$U106)</f>
        <v>368.5</v>
      </c>
      <c r="J106">
        <f>SUM('All_India_Index_Upto_April23 (1'!$V106:$X106)</f>
        <v>359</v>
      </c>
      <c r="K106">
        <f>SUM('All_India_Index_Upto_April23 (1'!$Y106:$AA106)</f>
        <v>358</v>
      </c>
      <c r="L106">
        <f>SUM('All_India_Index_Upto_April23 (1'!$AB106:$AD106)</f>
        <v>343.79999999999995</v>
      </c>
      <c r="M106">
        <v>124.6</v>
      </c>
    </row>
    <row r="107" spans="4:13" x14ac:dyDescent="0.3">
      <c r="D107" t="s">
        <v>27</v>
      </c>
      <c r="E107">
        <v>2015</v>
      </c>
      <c r="F107" t="s">
        <v>42</v>
      </c>
      <c r="G107">
        <f>SUM('All_India_Index_Upto_April23 (1'!$E107:$Q107)</f>
        <v>1682.3000000000002</v>
      </c>
      <c r="H107">
        <f>SUM('All_India_Index_Upto_April23 (1'!R107)</f>
        <v>133.1</v>
      </c>
      <c r="I107">
        <f>SUM('All_India_Index_Upto_April23 (1'!$S107:$U107)</f>
        <v>392.9</v>
      </c>
      <c r="J107">
        <f>SUM('All_India_Index_Upto_April23 (1'!$V107:$X107)</f>
        <v>374.1</v>
      </c>
      <c r="K107">
        <f>SUM('All_India_Index_Upto_April23 (1'!$Y107:$AA107)</f>
        <v>362.79999999999995</v>
      </c>
      <c r="L107">
        <f>SUM('All_India_Index_Upto_April23 (1'!$AB107:$AD107)</f>
        <v>355.4</v>
      </c>
      <c r="M107">
        <v>127.9</v>
      </c>
    </row>
    <row r="108" spans="4:13" x14ac:dyDescent="0.3">
      <c r="D108" t="s">
        <v>30</v>
      </c>
      <c r="E108">
        <v>2015</v>
      </c>
      <c r="F108" t="s">
        <v>42</v>
      </c>
      <c r="G108">
        <f>SUM('All_India_Index_Upto_April23 (1'!$E108:$Q108)</f>
        <v>1686.1000000000001</v>
      </c>
      <c r="H108">
        <f>SUM('All_India_Index_Upto_April23 (1'!R108)</f>
        <v>134.5</v>
      </c>
      <c r="I108">
        <f>SUM('All_India_Index_Upto_April23 (1'!$S108:$U108)</f>
        <v>383.5</v>
      </c>
      <c r="J108">
        <f>SUM('All_India_Index_Upto_April23 (1'!$V108:$X108)</f>
        <v>368</v>
      </c>
      <c r="K108">
        <f>SUM('All_India_Index_Upto_April23 (1'!$Y108:$AA108)</f>
        <v>361.3</v>
      </c>
      <c r="L108">
        <f>SUM('All_India_Index_Upto_April23 (1'!$AB108:$AD108)</f>
        <v>349.4</v>
      </c>
      <c r="M108">
        <v>126.1</v>
      </c>
    </row>
    <row r="109" spans="4:13" x14ac:dyDescent="0.3">
      <c r="D109" t="s">
        <v>29</v>
      </c>
      <c r="E109">
        <v>2015</v>
      </c>
      <c r="F109" t="s">
        <v>42</v>
      </c>
      <c r="G109">
        <f>SUM('All_India_Index_Upto_April23 (1'!$E109:$Q109)</f>
        <v>1698.8</v>
      </c>
      <c r="H109">
        <f>SUM('All_India_Index_Upto_April23 (1'!R109)</f>
        <v>138.19999999999999</v>
      </c>
      <c r="I109">
        <f>SUM('All_India_Index_Upto_April23 (1'!$S109:$U109)</f>
        <v>369.4</v>
      </c>
      <c r="J109">
        <f>SUM('All_India_Index_Upto_April23 (1'!$V109:$X109)</f>
        <v>359.4</v>
      </c>
      <c r="K109">
        <f>SUM('All_India_Index_Upto_April23 (1'!$Y109:$AA109)</f>
        <v>358.4</v>
      </c>
      <c r="L109">
        <f>SUM('All_India_Index_Upto_April23 (1'!$AB109:$AD109)</f>
        <v>344.09999999999997</v>
      </c>
      <c r="M109">
        <v>124</v>
      </c>
    </row>
    <row r="110" spans="4:13" x14ac:dyDescent="0.3">
      <c r="D110" t="s">
        <v>27</v>
      </c>
      <c r="E110">
        <v>2016</v>
      </c>
      <c r="F110" t="s">
        <v>28</v>
      </c>
      <c r="G110">
        <f>SUM('All_India_Index_Upto_April23 (1'!$E110:$Q110)</f>
        <v>1690.1000000000001</v>
      </c>
      <c r="H110">
        <f>SUM('All_India_Index_Upto_April23 (1'!R110)</f>
        <v>133.6</v>
      </c>
      <c r="I110">
        <f>SUM('All_India_Index_Upto_April23 (1'!$S110:$U110)</f>
        <v>394.70000000000005</v>
      </c>
      <c r="J110">
        <f>SUM('All_India_Index_Upto_April23 (1'!$V110:$X110)</f>
        <v>376.20000000000005</v>
      </c>
      <c r="K110">
        <f>SUM('All_India_Index_Upto_April23 (1'!$Y110:$AA110)</f>
        <v>364.8</v>
      </c>
      <c r="L110">
        <f>SUM('All_India_Index_Upto_April23 (1'!$AB110:$AD110)</f>
        <v>355.1</v>
      </c>
      <c r="M110">
        <v>128.1</v>
      </c>
    </row>
    <row r="111" spans="4:13" x14ac:dyDescent="0.3">
      <c r="D111" t="s">
        <v>30</v>
      </c>
      <c r="E111">
        <v>2016</v>
      </c>
      <c r="F111" t="s">
        <v>28</v>
      </c>
      <c r="G111">
        <f>SUM('All_India_Index_Upto_April23 (1'!$E111:$Q111)</f>
        <v>1691.7</v>
      </c>
      <c r="H111">
        <f>SUM('All_India_Index_Upto_April23 (1'!R111)</f>
        <v>135.19999999999999</v>
      </c>
      <c r="I111">
        <f>SUM('All_India_Index_Upto_April23 (1'!$S111:$U111)</f>
        <v>384.9</v>
      </c>
      <c r="J111">
        <f>SUM('All_India_Index_Upto_April23 (1'!$V111:$X111)</f>
        <v>370.3</v>
      </c>
      <c r="K111">
        <f>SUM('All_India_Index_Upto_April23 (1'!$Y111:$AA111)</f>
        <v>362.8</v>
      </c>
      <c r="L111">
        <f>SUM('All_India_Index_Upto_April23 (1'!$AB111:$AD111)</f>
        <v>349.4</v>
      </c>
      <c r="M111">
        <v>126.3</v>
      </c>
    </row>
    <row r="112" spans="4:13" x14ac:dyDescent="0.3">
      <c r="D112" t="s">
        <v>29</v>
      </c>
      <c r="E112">
        <v>2016</v>
      </c>
      <c r="F112" t="s">
        <v>28</v>
      </c>
      <c r="G112">
        <f>SUM('All_India_Index_Upto_April23 (1'!$E112:$Q112)</f>
        <v>1701.4</v>
      </c>
      <c r="H112">
        <f>SUM('All_India_Index_Upto_April23 (1'!R112)</f>
        <v>139.5</v>
      </c>
      <c r="I112">
        <f>SUM('All_India_Index_Upto_April23 (1'!$S112:$U112)</f>
        <v>370.5</v>
      </c>
      <c r="J112">
        <f>SUM('All_India_Index_Upto_April23 (1'!$V112:$X112)</f>
        <v>361.9</v>
      </c>
      <c r="K112">
        <f>SUM('All_India_Index_Upto_April23 (1'!$Y112:$AA112)</f>
        <v>359.5</v>
      </c>
      <c r="L112">
        <f>SUM('All_India_Index_Upto_April23 (1'!$AB112:$AD112)</f>
        <v>344.2</v>
      </c>
      <c r="M112">
        <v>124.2</v>
      </c>
    </row>
    <row r="113" spans="4:13" x14ac:dyDescent="0.3">
      <c r="D113" t="s">
        <v>27</v>
      </c>
      <c r="E113">
        <v>2016</v>
      </c>
      <c r="F113" t="s">
        <v>31</v>
      </c>
      <c r="G113">
        <f>SUM('All_India_Index_Upto_April23 (1'!$E113:$Q113)</f>
        <v>1682.6</v>
      </c>
      <c r="H113">
        <f>SUM('All_India_Index_Upto_April23 (1'!R113)</f>
        <v>134.4</v>
      </c>
      <c r="I113">
        <f>SUM('All_India_Index_Upto_April23 (1'!$S113:$U113)</f>
        <v>397.1</v>
      </c>
      <c r="J113">
        <f>SUM('All_India_Index_Upto_April23 (1'!$V113:$X113)</f>
        <v>379</v>
      </c>
      <c r="K113">
        <f>SUM('All_India_Index_Upto_April23 (1'!$Y113:$AA113)</f>
        <v>368.2</v>
      </c>
      <c r="L113">
        <f>SUM('All_India_Index_Upto_April23 (1'!$AB113:$AD113)</f>
        <v>357.1</v>
      </c>
      <c r="M113">
        <v>127.9</v>
      </c>
    </row>
    <row r="114" spans="4:13" x14ac:dyDescent="0.3">
      <c r="D114" t="s">
        <v>30</v>
      </c>
      <c r="E114">
        <v>2016</v>
      </c>
      <c r="F114" t="s">
        <v>31</v>
      </c>
      <c r="G114">
        <f>SUM('All_India_Index_Upto_April23 (1'!$E114:$Q114)</f>
        <v>1678.1</v>
      </c>
      <c r="H114">
        <f>SUM('All_India_Index_Upto_April23 (1'!R114)</f>
        <v>135.9</v>
      </c>
      <c r="I114">
        <f>SUM('All_India_Index_Upto_April23 (1'!$S114:$U114)</f>
        <v>386.9</v>
      </c>
      <c r="J114">
        <f>SUM('All_India_Index_Upto_April23 (1'!$V114:$X114)</f>
        <v>372.1</v>
      </c>
      <c r="K114">
        <f>SUM('All_India_Index_Upto_April23 (1'!$Y114:$AA114)</f>
        <v>365.7</v>
      </c>
      <c r="L114">
        <f>SUM('All_India_Index_Upto_April23 (1'!$AB114:$AD114)</f>
        <v>350.79999999999995</v>
      </c>
      <c r="M114">
        <v>126</v>
      </c>
    </row>
    <row r="115" spans="4:13" x14ac:dyDescent="0.3">
      <c r="D115" t="s">
        <v>29</v>
      </c>
      <c r="E115">
        <v>2016</v>
      </c>
      <c r="F115" t="s">
        <v>31</v>
      </c>
      <c r="G115">
        <f>SUM('All_India_Index_Upto_April23 (1'!$E115:$Q115)</f>
        <v>1676.1</v>
      </c>
      <c r="H115">
        <f>SUM('All_India_Index_Upto_April23 (1'!R115)</f>
        <v>140</v>
      </c>
      <c r="I115">
        <f>SUM('All_India_Index_Upto_April23 (1'!$S115:$U115)</f>
        <v>371.6</v>
      </c>
      <c r="J115">
        <f>SUM('All_India_Index_Upto_April23 (1'!$V115:$X115)</f>
        <v>362.2</v>
      </c>
      <c r="K115">
        <f>SUM('All_India_Index_Upto_April23 (1'!$Y115:$AA115)</f>
        <v>362</v>
      </c>
      <c r="L115">
        <f>SUM('All_India_Index_Upto_April23 (1'!$AB115:$AD115)</f>
        <v>345.09999999999997</v>
      </c>
      <c r="M115">
        <v>123.8</v>
      </c>
    </row>
    <row r="116" spans="4:13" x14ac:dyDescent="0.3">
      <c r="D116" t="s">
        <v>27</v>
      </c>
      <c r="E116">
        <v>2016</v>
      </c>
      <c r="F116" t="s">
        <v>32</v>
      </c>
      <c r="G116">
        <f>SUM('All_India_Index_Upto_April23 (1'!$E116:$Q116)</f>
        <v>1682.7000000000003</v>
      </c>
      <c r="H116">
        <f>SUM('All_India_Index_Upto_April23 (1'!R116)</f>
        <v>135</v>
      </c>
      <c r="I116">
        <f>SUM('All_India_Index_Upto_April23 (1'!$S116:$U116)</f>
        <v>398.40000000000003</v>
      </c>
      <c r="J116">
        <f>SUM('All_India_Index_Upto_April23 (1'!$V116:$X116)</f>
        <v>379.6</v>
      </c>
      <c r="K116">
        <f>SUM('All_India_Index_Upto_April23 (1'!$Y116:$AA116)</f>
        <v>369.7</v>
      </c>
      <c r="L116">
        <f>SUM('All_India_Index_Upto_April23 (1'!$AB116:$AD116)</f>
        <v>357.2</v>
      </c>
      <c r="M116">
        <v>128</v>
      </c>
    </row>
    <row r="117" spans="4:13" x14ac:dyDescent="0.3">
      <c r="D117" t="s">
        <v>30</v>
      </c>
      <c r="E117">
        <v>2016</v>
      </c>
      <c r="F117" t="s">
        <v>32</v>
      </c>
      <c r="G117">
        <f>SUM('All_India_Index_Upto_April23 (1'!$E117:$Q117)</f>
        <v>1675.2</v>
      </c>
      <c r="H117">
        <f>SUM('All_India_Index_Upto_April23 (1'!R117)</f>
        <v>136.5</v>
      </c>
      <c r="I117">
        <f>SUM('All_India_Index_Upto_April23 (1'!$S117:$U117)</f>
        <v>387.9</v>
      </c>
      <c r="J117">
        <f>SUM('All_India_Index_Upto_April23 (1'!$V117:$X117)</f>
        <v>372.4</v>
      </c>
      <c r="K117">
        <f>SUM('All_India_Index_Upto_April23 (1'!$Y117:$AA117)</f>
        <v>367.1</v>
      </c>
      <c r="L117">
        <f>SUM('All_India_Index_Upto_April23 (1'!$AB117:$AD117)</f>
        <v>350.8</v>
      </c>
      <c r="M117">
        <v>126</v>
      </c>
    </row>
    <row r="118" spans="4:13" x14ac:dyDescent="0.3">
      <c r="D118" t="s">
        <v>29</v>
      </c>
      <c r="E118">
        <v>2016</v>
      </c>
      <c r="F118" t="s">
        <v>32</v>
      </c>
      <c r="G118">
        <f>SUM('All_India_Index_Upto_April23 (1'!$E118:$Q118)</f>
        <v>1667.6000000000001</v>
      </c>
      <c r="H118">
        <f>SUM('All_India_Index_Upto_April23 (1'!R118)</f>
        <v>140.6</v>
      </c>
      <c r="I118">
        <f>SUM('All_India_Index_Upto_April23 (1'!$S118:$U118)</f>
        <v>372.2</v>
      </c>
      <c r="J118">
        <f>SUM('All_India_Index_Upto_April23 (1'!$V118:$X118)</f>
        <v>362</v>
      </c>
      <c r="K118">
        <f>SUM('All_India_Index_Upto_April23 (1'!$Y118:$AA118)</f>
        <v>363.20000000000005</v>
      </c>
      <c r="L118">
        <f>SUM('All_India_Index_Upto_April23 (1'!$AB118:$AD118)</f>
        <v>344.9</v>
      </c>
      <c r="M118">
        <v>123.8</v>
      </c>
    </row>
    <row r="119" spans="4:13" x14ac:dyDescent="0.3">
      <c r="D119" t="s">
        <v>27</v>
      </c>
      <c r="E119">
        <v>2016</v>
      </c>
      <c r="F119" t="s">
        <v>33</v>
      </c>
      <c r="G119">
        <f>SUM('All_India_Index_Upto_April23 (1'!$E119:$Q119)</f>
        <v>1701.6000000000004</v>
      </c>
      <c r="H119">
        <f>SUM('All_India_Index_Upto_April23 (1'!R119)</f>
        <v>135.5</v>
      </c>
      <c r="I119">
        <f>SUM('All_India_Index_Upto_April23 (1'!$S119:$U119)</f>
        <v>400</v>
      </c>
      <c r="J119">
        <f>SUM('All_India_Index_Upto_April23 (1'!$V119:$X119)</f>
        <v>380.6</v>
      </c>
      <c r="K119">
        <f>SUM('All_India_Index_Upto_April23 (1'!$Y119:$AA119)</f>
        <v>371.5</v>
      </c>
      <c r="L119">
        <f>SUM('All_India_Index_Upto_April23 (1'!$AB119:$AD119)</f>
        <v>359.3</v>
      </c>
      <c r="M119">
        <v>129</v>
      </c>
    </row>
    <row r="120" spans="4:13" x14ac:dyDescent="0.3">
      <c r="D120" t="s">
        <v>30</v>
      </c>
      <c r="E120">
        <v>2016</v>
      </c>
      <c r="F120" t="s">
        <v>33</v>
      </c>
      <c r="G120">
        <f>SUM('All_India_Index_Upto_April23 (1'!$E120:$Q120)</f>
        <v>1701.3</v>
      </c>
      <c r="H120">
        <f>SUM('All_India_Index_Upto_April23 (1'!R120)</f>
        <v>137.1</v>
      </c>
      <c r="I120">
        <f>SUM('All_India_Index_Upto_April23 (1'!$S120:$U120)</f>
        <v>389.20000000000005</v>
      </c>
      <c r="J120">
        <f>SUM('All_India_Index_Upto_April23 (1'!$V120:$X120)</f>
        <v>373.4</v>
      </c>
      <c r="K120">
        <f>SUM('All_India_Index_Upto_April23 (1'!$Y120:$AA120)</f>
        <v>369</v>
      </c>
      <c r="L120">
        <f>SUM('All_India_Index_Upto_April23 (1'!$AB120:$AD120)</f>
        <v>353.2</v>
      </c>
      <c r="M120">
        <v>127.3</v>
      </c>
    </row>
    <row r="121" spans="4:13" x14ac:dyDescent="0.3">
      <c r="D121" t="s">
        <v>29</v>
      </c>
      <c r="E121">
        <v>2016</v>
      </c>
      <c r="F121" t="s">
        <v>33</v>
      </c>
      <c r="G121">
        <f>SUM('All_India_Index_Upto_April23 (1'!$E121:$Q121)</f>
        <v>1706.3</v>
      </c>
      <c r="H121">
        <f>SUM('All_India_Index_Upto_April23 (1'!R121)</f>
        <v>141.5</v>
      </c>
      <c r="I121">
        <f>SUM('All_India_Index_Upto_April23 (1'!$S121:$U121)</f>
        <v>373.1</v>
      </c>
      <c r="J121">
        <f>SUM('All_India_Index_Upto_April23 (1'!$V121:$X121)</f>
        <v>363</v>
      </c>
      <c r="K121">
        <f>SUM('All_India_Index_Upto_April23 (1'!$Y121:$AA121)</f>
        <v>365.2</v>
      </c>
      <c r="L121">
        <f>SUM('All_India_Index_Upto_April23 (1'!$AB121:$AD121)</f>
        <v>347.7</v>
      </c>
      <c r="M121">
        <v>125.3</v>
      </c>
    </row>
    <row r="122" spans="4:13" x14ac:dyDescent="0.3">
      <c r="D122" t="s">
        <v>27</v>
      </c>
      <c r="E122">
        <v>2016</v>
      </c>
      <c r="F122" t="s">
        <v>34</v>
      </c>
      <c r="G122">
        <f>SUM('All_India_Index_Upto_April23 (1'!$E122:$Q122)</f>
        <v>1723.6999999999998</v>
      </c>
      <c r="H122">
        <f>SUM('All_India_Index_Upto_April23 (1'!R122)</f>
        <v>136</v>
      </c>
      <c r="I122">
        <f>SUM('All_India_Index_Upto_April23 (1'!$S122:$U122)</f>
        <v>401.3</v>
      </c>
      <c r="J122">
        <f>SUM('All_India_Index_Upto_April23 (1'!$V122:$X122)</f>
        <v>381.9</v>
      </c>
      <c r="K122">
        <f>SUM('All_India_Index_Upto_April23 (1'!$Y122:$AA122)</f>
        <v>374.6</v>
      </c>
      <c r="L122">
        <f>SUM('All_India_Index_Upto_April23 (1'!$AB122:$AD122)</f>
        <v>361.2</v>
      </c>
      <c r="M122">
        <v>130.30000000000001</v>
      </c>
    </row>
    <row r="123" spans="4:13" x14ac:dyDescent="0.3">
      <c r="D123" t="s">
        <v>30</v>
      </c>
      <c r="E123">
        <v>2016</v>
      </c>
      <c r="F123" t="s">
        <v>34</v>
      </c>
      <c r="G123">
        <f>SUM('All_India_Index_Upto_April23 (1'!$E123:$Q123)</f>
        <v>1730.4</v>
      </c>
      <c r="H123">
        <f>SUM('All_India_Index_Upto_April23 (1'!R123)</f>
        <v>137.69999999999999</v>
      </c>
      <c r="I123">
        <f>SUM('All_India_Index_Upto_April23 (1'!$S123:$U123)</f>
        <v>390.4</v>
      </c>
      <c r="J123">
        <f>SUM('All_India_Index_Upto_April23 (1'!$V123:$X123)</f>
        <v>374.7</v>
      </c>
      <c r="K123">
        <f>SUM('All_India_Index_Upto_April23 (1'!$Y123:$AA123)</f>
        <v>371.4</v>
      </c>
      <c r="L123">
        <f>SUM('All_India_Index_Upto_April23 (1'!$AB123:$AD123)</f>
        <v>355</v>
      </c>
      <c r="M123">
        <v>128.6</v>
      </c>
    </row>
    <row r="124" spans="4:13" x14ac:dyDescent="0.3">
      <c r="D124" t="s">
        <v>29</v>
      </c>
      <c r="E124">
        <v>2016</v>
      </c>
      <c r="F124" t="s">
        <v>34</v>
      </c>
      <c r="G124">
        <f>SUM('All_India_Index_Upto_April23 (1'!$E124:$Q124)</f>
        <v>1746.7999999999997</v>
      </c>
      <c r="H124">
        <f>SUM('All_India_Index_Upto_April23 (1'!R124)</f>
        <v>142.19999999999999</v>
      </c>
      <c r="I124">
        <f>SUM('All_India_Index_Upto_April23 (1'!$S124:$U124)</f>
        <v>374.1</v>
      </c>
      <c r="J124">
        <f>SUM('All_India_Index_Upto_April23 (1'!$V124:$X124)</f>
        <v>364.2</v>
      </c>
      <c r="K124">
        <f>SUM('All_India_Index_Upto_April23 (1'!$Y124:$AA124)</f>
        <v>366.8</v>
      </c>
      <c r="L124">
        <f>SUM('All_India_Index_Upto_April23 (1'!$AB124:$AD124)</f>
        <v>349.2</v>
      </c>
      <c r="M124">
        <v>126.6</v>
      </c>
    </row>
    <row r="125" spans="4:13" x14ac:dyDescent="0.3">
      <c r="D125" t="s">
        <v>27</v>
      </c>
      <c r="E125">
        <v>2016</v>
      </c>
      <c r="F125" t="s">
        <v>35</v>
      </c>
      <c r="G125">
        <f>SUM('All_India_Index_Upto_April23 (1'!$E125:$Q125)</f>
        <v>1748.6</v>
      </c>
      <c r="H125">
        <f>SUM('All_India_Index_Upto_April23 (1'!R125)</f>
        <v>137.19999999999999</v>
      </c>
      <c r="I125">
        <f>SUM('All_India_Index_Upto_April23 (1'!$S125:$U125)</f>
        <v>403.5</v>
      </c>
      <c r="J125">
        <f>SUM('All_India_Index_Upto_April23 (1'!$V125:$X125)</f>
        <v>382.8</v>
      </c>
      <c r="K125">
        <f>SUM('All_India_Index_Upto_April23 (1'!$Y125:$AA125)</f>
        <v>376.3</v>
      </c>
      <c r="L125">
        <f>SUM('All_India_Index_Upto_April23 (1'!$AB125:$AD125)</f>
        <v>363.7</v>
      </c>
      <c r="M125">
        <v>131.9</v>
      </c>
    </row>
    <row r="126" spans="4:13" x14ac:dyDescent="0.3">
      <c r="D126" t="s">
        <v>30</v>
      </c>
      <c r="E126">
        <v>2016</v>
      </c>
      <c r="F126" t="s">
        <v>35</v>
      </c>
      <c r="G126">
        <f>SUM('All_India_Index_Upto_April23 (1'!$E126:$Q126)</f>
        <v>1760.6</v>
      </c>
      <c r="H126">
        <f>SUM('All_India_Index_Upto_April23 (1'!R126)</f>
        <v>138.69999999999999</v>
      </c>
      <c r="I126">
        <f>SUM('All_India_Index_Upto_April23 (1'!$S126:$U126)</f>
        <v>392.1</v>
      </c>
      <c r="J126">
        <f>SUM('All_India_Index_Upto_April23 (1'!$V126:$X126)</f>
        <v>375.20000000000005</v>
      </c>
      <c r="K126">
        <f>SUM('All_India_Index_Upto_April23 (1'!$Y126:$AA126)</f>
        <v>373.2</v>
      </c>
      <c r="L126">
        <f>SUM('All_India_Index_Upto_April23 (1'!$AB126:$AD126)</f>
        <v>357.4</v>
      </c>
      <c r="M126">
        <v>130.1</v>
      </c>
    </row>
    <row r="127" spans="4:13" x14ac:dyDescent="0.3">
      <c r="D127" t="s">
        <v>29</v>
      </c>
      <c r="E127">
        <v>2016</v>
      </c>
      <c r="F127" t="s">
        <v>35</v>
      </c>
      <c r="G127">
        <f>SUM('All_India_Index_Upto_April23 (1'!$E127:$Q127)</f>
        <v>1787.0000000000002</v>
      </c>
      <c r="H127">
        <f>SUM('All_India_Index_Upto_April23 (1'!R127)</f>
        <v>142.69999999999999</v>
      </c>
      <c r="I127">
        <f>SUM('All_India_Index_Upto_April23 (1'!$S127:$U127)</f>
        <v>375.29999999999995</v>
      </c>
      <c r="J127">
        <f>SUM('All_India_Index_Upto_April23 (1'!$V127:$X127)</f>
        <v>364.2</v>
      </c>
      <c r="K127">
        <f>SUM('All_India_Index_Upto_April23 (1'!$Y127:$AA127)</f>
        <v>368.7</v>
      </c>
      <c r="L127">
        <f>SUM('All_India_Index_Upto_April23 (1'!$AB127:$AD127)</f>
        <v>351.79999999999995</v>
      </c>
      <c r="M127">
        <v>128.1</v>
      </c>
    </row>
    <row r="128" spans="4:13" x14ac:dyDescent="0.3">
      <c r="D128" t="s">
        <v>27</v>
      </c>
      <c r="E128">
        <v>2016</v>
      </c>
      <c r="F128" t="s">
        <v>36</v>
      </c>
      <c r="G128">
        <f>SUM('All_India_Index_Upto_April23 (1'!$E128:$Q128)</f>
        <v>1770.2999999999997</v>
      </c>
      <c r="H128">
        <f>SUM('All_India_Index_Upto_April23 (1'!R128)</f>
        <v>138</v>
      </c>
      <c r="I128">
        <f>SUM('All_India_Index_Upto_April23 (1'!$S128:$U128)</f>
        <v>405.9</v>
      </c>
      <c r="J128">
        <f>SUM('All_India_Index_Upto_April23 (1'!$V128:$X128)</f>
        <v>384.6</v>
      </c>
      <c r="K128">
        <f>SUM('All_India_Index_Upto_April23 (1'!$Y128:$AA128)</f>
        <v>378.40000000000003</v>
      </c>
      <c r="L128">
        <f>SUM('All_India_Index_Upto_April23 (1'!$AB128:$AD128)</f>
        <v>365.40000000000003</v>
      </c>
      <c r="M128">
        <v>133</v>
      </c>
    </row>
    <row r="129" spans="4:13" x14ac:dyDescent="0.3">
      <c r="D129" t="s">
        <v>30</v>
      </c>
      <c r="E129">
        <v>2016</v>
      </c>
      <c r="F129" t="s">
        <v>36</v>
      </c>
      <c r="G129">
        <f>SUM('All_India_Index_Upto_April23 (1'!$E129:$Q129)</f>
        <v>1783.5</v>
      </c>
      <c r="H129">
        <f>SUM('All_India_Index_Upto_April23 (1'!R129)</f>
        <v>139.30000000000001</v>
      </c>
      <c r="I129">
        <f>SUM('All_India_Index_Upto_April23 (1'!$S129:$U129)</f>
        <v>393.8</v>
      </c>
      <c r="J129">
        <f>SUM('All_India_Index_Upto_April23 (1'!$V129:$X129)</f>
        <v>376.70000000000005</v>
      </c>
      <c r="K129">
        <f>SUM('All_India_Index_Upto_April23 (1'!$Y129:$AA129)</f>
        <v>375.8</v>
      </c>
      <c r="L129">
        <f>SUM('All_India_Index_Upto_April23 (1'!$AB129:$AD129)</f>
        <v>358.20000000000005</v>
      </c>
      <c r="M129">
        <v>131.1</v>
      </c>
    </row>
    <row r="130" spans="4:13" x14ac:dyDescent="0.3">
      <c r="D130" t="s">
        <v>29</v>
      </c>
      <c r="E130">
        <v>2016</v>
      </c>
      <c r="F130" t="s">
        <v>36</v>
      </c>
      <c r="G130">
        <f>SUM('All_India_Index_Upto_April23 (1'!$E130:$Q130)</f>
        <v>1811.5000000000002</v>
      </c>
      <c r="H130">
        <f>SUM('All_India_Index_Upto_April23 (1'!R130)</f>
        <v>142.9</v>
      </c>
      <c r="I130">
        <f>SUM('All_India_Index_Upto_April23 (1'!$S130:$U130)</f>
        <v>375.9</v>
      </c>
      <c r="J130">
        <f>SUM('All_India_Index_Upto_April23 (1'!$V130:$X130)</f>
        <v>365.4</v>
      </c>
      <c r="K130">
        <f>SUM('All_India_Index_Upto_April23 (1'!$Y130:$AA130)</f>
        <v>371.70000000000005</v>
      </c>
      <c r="L130">
        <f>SUM('All_India_Index_Upto_April23 (1'!$AB130:$AD130)</f>
        <v>351.9</v>
      </c>
      <c r="M130">
        <v>129</v>
      </c>
    </row>
    <row r="131" spans="4:13" x14ac:dyDescent="0.3">
      <c r="D131" t="s">
        <v>27</v>
      </c>
      <c r="E131">
        <v>2016</v>
      </c>
      <c r="F131" t="s">
        <v>37</v>
      </c>
      <c r="G131">
        <f>SUM('All_India_Index_Upto_April23 (1'!$E131:$Q131)</f>
        <v>1777.4999999999998</v>
      </c>
      <c r="H131">
        <f>SUM('All_India_Index_Upto_April23 (1'!R131)</f>
        <v>138.9</v>
      </c>
      <c r="I131">
        <f>SUM('All_India_Index_Upto_April23 (1'!$S131:$U131)</f>
        <v>407.9</v>
      </c>
      <c r="J131">
        <f>SUM('All_India_Index_Upto_April23 (1'!$V131:$X131)</f>
        <v>387</v>
      </c>
      <c r="K131">
        <f>SUM('All_India_Index_Upto_April23 (1'!$Y131:$AA131)</f>
        <v>380.9</v>
      </c>
      <c r="L131">
        <f>SUM('All_India_Index_Upto_April23 (1'!$AB131:$AD131)</f>
        <v>365.7</v>
      </c>
      <c r="M131">
        <v>133.5</v>
      </c>
    </row>
    <row r="132" spans="4:13" x14ac:dyDescent="0.3">
      <c r="D132" t="s">
        <v>30</v>
      </c>
      <c r="E132">
        <v>2016</v>
      </c>
      <c r="F132" t="s">
        <v>37</v>
      </c>
      <c r="G132">
        <f>SUM('All_India_Index_Upto_April23 (1'!$E132:$Q132)</f>
        <v>1777.9</v>
      </c>
      <c r="H132">
        <f>SUM('All_India_Index_Upto_April23 (1'!R132)</f>
        <v>140.19999999999999</v>
      </c>
      <c r="I132">
        <f>SUM('All_India_Index_Upto_April23 (1'!$S132:$U132)</f>
        <v>395.49999999999994</v>
      </c>
      <c r="J132">
        <f>SUM('All_India_Index_Upto_April23 (1'!$V132:$X132)</f>
        <v>378.29999999999995</v>
      </c>
      <c r="K132">
        <f>SUM('All_India_Index_Upto_April23 (1'!$Y132:$AA132)</f>
        <v>378</v>
      </c>
      <c r="L132">
        <f>SUM('All_India_Index_Upto_April23 (1'!$AB132:$AD132)</f>
        <v>357.9</v>
      </c>
      <c r="M132">
        <v>131.1</v>
      </c>
    </row>
    <row r="133" spans="4:13" x14ac:dyDescent="0.3">
      <c r="D133" t="s">
        <v>29</v>
      </c>
      <c r="E133">
        <v>2016</v>
      </c>
      <c r="F133" t="s">
        <v>37</v>
      </c>
      <c r="G133">
        <f>SUM('All_India_Index_Upto_April23 (1'!$E133:$Q133)</f>
        <v>1783.9999999999995</v>
      </c>
      <c r="H133">
        <f>SUM('All_India_Index_Upto_April23 (1'!R133)</f>
        <v>143.6</v>
      </c>
      <c r="I133">
        <f>SUM('All_India_Index_Upto_April23 (1'!$S133:$U133)</f>
        <v>377</v>
      </c>
      <c r="J133">
        <f>SUM('All_India_Index_Upto_April23 (1'!$V133:$X133)</f>
        <v>365.9</v>
      </c>
      <c r="K133">
        <f>SUM('All_India_Index_Upto_April23 (1'!$Y133:$AA133)</f>
        <v>373.6</v>
      </c>
      <c r="L133">
        <f>SUM('All_India_Index_Upto_April23 (1'!$AB133:$AD133)</f>
        <v>350.9</v>
      </c>
      <c r="M133">
        <v>128.4</v>
      </c>
    </row>
    <row r="134" spans="4:13" x14ac:dyDescent="0.3">
      <c r="D134" t="s">
        <v>27</v>
      </c>
      <c r="E134">
        <v>2016</v>
      </c>
      <c r="F134" t="s">
        <v>38</v>
      </c>
      <c r="G134">
        <f>SUM('All_India_Index_Upto_April23 (1'!$E134:$Q134)</f>
        <v>1770.7</v>
      </c>
      <c r="H134">
        <f>SUM('All_India_Index_Upto_April23 (1'!R134)</f>
        <v>139.9</v>
      </c>
      <c r="I134">
        <f>SUM('All_India_Index_Upto_April23 (1'!$S134:$U134)</f>
        <v>409.8</v>
      </c>
      <c r="J134">
        <f>SUM('All_India_Index_Upto_April23 (1'!$V134:$X134)</f>
        <v>388.70000000000005</v>
      </c>
      <c r="K134">
        <f>SUM('All_India_Index_Upto_April23 (1'!$Y134:$AA134)</f>
        <v>382.79999999999995</v>
      </c>
      <c r="L134">
        <f>SUM('All_India_Index_Upto_April23 (1'!$AB134:$AD134)</f>
        <v>367.6</v>
      </c>
      <c r="M134">
        <v>133.4</v>
      </c>
    </row>
    <row r="135" spans="4:13" x14ac:dyDescent="0.3">
      <c r="D135" t="s">
        <v>30</v>
      </c>
      <c r="E135">
        <v>2016</v>
      </c>
      <c r="F135" t="s">
        <v>38</v>
      </c>
      <c r="G135">
        <f>SUM('All_India_Index_Upto_April23 (1'!$E135:$Q135)</f>
        <v>1763.6999999999998</v>
      </c>
      <c r="H135">
        <f>SUM('All_India_Index_Upto_April23 (1'!R135)</f>
        <v>141</v>
      </c>
      <c r="I135">
        <f>SUM('All_India_Index_Upto_April23 (1'!$S135:$U135)</f>
        <v>397</v>
      </c>
      <c r="J135">
        <f>SUM('All_India_Index_Upto_April23 (1'!$V135:$X135)</f>
        <v>379.9</v>
      </c>
      <c r="K135">
        <f>SUM('All_India_Index_Upto_April23 (1'!$Y135:$AA135)</f>
        <v>379.3</v>
      </c>
      <c r="L135">
        <f>SUM('All_India_Index_Upto_April23 (1'!$AB135:$AD135)</f>
        <v>360</v>
      </c>
      <c r="M135">
        <v>130.9</v>
      </c>
    </row>
    <row r="136" spans="4:13" x14ac:dyDescent="0.3">
      <c r="D136" t="s">
        <v>29</v>
      </c>
      <c r="E136">
        <v>2016</v>
      </c>
      <c r="F136" t="s">
        <v>38</v>
      </c>
      <c r="G136">
        <f>SUM('All_India_Index_Upto_April23 (1'!$E136:$Q136)</f>
        <v>1756.3999999999996</v>
      </c>
      <c r="H136">
        <f>SUM('All_India_Index_Upto_April23 (1'!R136)</f>
        <v>143.9</v>
      </c>
      <c r="I136">
        <f>SUM('All_India_Index_Upto_April23 (1'!$S136:$U136)</f>
        <v>378</v>
      </c>
      <c r="J136">
        <f>SUM('All_India_Index_Upto_April23 (1'!$V136:$X136)</f>
        <v>367</v>
      </c>
      <c r="K136">
        <f>SUM('All_India_Index_Upto_April23 (1'!$Y136:$AA136)</f>
        <v>374.20000000000005</v>
      </c>
      <c r="L136">
        <f>SUM('All_India_Index_Upto_April23 (1'!$AB136:$AD136)</f>
        <v>353.1</v>
      </c>
      <c r="M136">
        <v>128</v>
      </c>
    </row>
    <row r="137" spans="4:13" x14ac:dyDescent="0.3">
      <c r="D137" t="s">
        <v>27</v>
      </c>
      <c r="E137">
        <v>2016</v>
      </c>
      <c r="F137" t="s">
        <v>39</v>
      </c>
      <c r="G137">
        <f>SUM('All_India_Index_Upto_April23 (1'!$E137:$Q137)</f>
        <v>1771.8000000000002</v>
      </c>
      <c r="H137">
        <f>SUM('All_India_Index_Upto_April23 (1'!R137)</f>
        <v>140.9</v>
      </c>
      <c r="I137">
        <f>SUM('All_India_Index_Upto_April23 (1'!$S137:$U137)</f>
        <v>412.7</v>
      </c>
      <c r="J137">
        <f>SUM('All_India_Index_Upto_April23 (1'!$V137:$X137)</f>
        <v>390.3</v>
      </c>
      <c r="K137">
        <f>SUM('All_India_Index_Upto_April23 (1'!$Y137:$AA137)</f>
        <v>384.7</v>
      </c>
      <c r="L137">
        <f>SUM('All_India_Index_Upto_April23 (1'!$AB137:$AD137)</f>
        <v>370</v>
      </c>
      <c r="M137">
        <v>133.80000000000001</v>
      </c>
    </row>
    <row r="138" spans="4:13" x14ac:dyDescent="0.3">
      <c r="D138" t="s">
        <v>30</v>
      </c>
      <c r="E138">
        <v>2016</v>
      </c>
      <c r="F138" t="s">
        <v>39</v>
      </c>
      <c r="G138">
        <f>SUM('All_India_Index_Upto_April23 (1'!$E138:$Q138)</f>
        <v>1766.7999999999995</v>
      </c>
      <c r="H138">
        <f>SUM('All_India_Index_Upto_April23 (1'!R138)</f>
        <v>141.80000000000001</v>
      </c>
      <c r="I138">
        <f>SUM('All_India_Index_Upto_April23 (1'!$S138:$U138)</f>
        <v>399.1</v>
      </c>
      <c r="J138">
        <f>SUM('All_India_Index_Upto_April23 (1'!$V138:$X138)</f>
        <v>381.4</v>
      </c>
      <c r="K138">
        <f>SUM('All_India_Index_Upto_April23 (1'!$Y138:$AA138)</f>
        <v>380.6</v>
      </c>
      <c r="L138">
        <f>SUM('All_India_Index_Upto_April23 (1'!$AB138:$AD138)</f>
        <v>362.1</v>
      </c>
      <c r="M138">
        <v>131.4</v>
      </c>
    </row>
    <row r="139" spans="4:13" x14ac:dyDescent="0.3">
      <c r="D139" t="s">
        <v>29</v>
      </c>
      <c r="E139">
        <v>2016</v>
      </c>
      <c r="F139" t="s">
        <v>39</v>
      </c>
      <c r="G139">
        <f>SUM('All_India_Index_Upto_April23 (1'!$E139:$Q139)</f>
        <v>1762.8999999999999</v>
      </c>
      <c r="H139">
        <f>SUM('All_India_Index_Upto_April23 (1'!R139)</f>
        <v>144.30000000000001</v>
      </c>
      <c r="I139">
        <f>SUM('All_India_Index_Upto_April23 (1'!$S139:$U139)</f>
        <v>379</v>
      </c>
      <c r="J139">
        <f>SUM('All_India_Index_Upto_April23 (1'!$V139:$X139)</f>
        <v>368.4</v>
      </c>
      <c r="K139">
        <f>SUM('All_India_Index_Upto_April23 (1'!$Y139:$AA139)</f>
        <v>374.5</v>
      </c>
      <c r="L139">
        <f>SUM('All_India_Index_Upto_April23 (1'!$AB139:$AD139)</f>
        <v>354.9</v>
      </c>
      <c r="M139">
        <v>128.6</v>
      </c>
    </row>
    <row r="140" spans="4:13" x14ac:dyDescent="0.3">
      <c r="D140" t="s">
        <v>27</v>
      </c>
      <c r="E140">
        <v>2016</v>
      </c>
      <c r="F140" t="s">
        <v>41</v>
      </c>
      <c r="G140">
        <f>SUM('All_India_Index_Upto_April23 (1'!$E140:$Q140)</f>
        <v>1764.6</v>
      </c>
      <c r="H140">
        <f>SUM('All_India_Index_Upto_April23 (1'!R140)</f>
        <v>141.19999999999999</v>
      </c>
      <c r="I140">
        <f>SUM('All_India_Index_Upto_April23 (1'!$S140:$U140)</f>
        <v>413.59999999999997</v>
      </c>
      <c r="J140">
        <f>SUM('All_India_Index_Upto_April23 (1'!$V140:$X140)</f>
        <v>391.5</v>
      </c>
      <c r="K140">
        <f>SUM('All_India_Index_Upto_April23 (1'!$Y140:$AA140)</f>
        <v>386.29999999999995</v>
      </c>
      <c r="L140">
        <f>SUM('All_India_Index_Upto_April23 (1'!$AB140:$AD140)</f>
        <v>371.20000000000005</v>
      </c>
      <c r="M140">
        <v>133.6</v>
      </c>
    </row>
    <row r="141" spans="4:13" x14ac:dyDescent="0.3">
      <c r="D141" t="s">
        <v>30</v>
      </c>
      <c r="E141">
        <v>2016</v>
      </c>
      <c r="F141" t="s">
        <v>41</v>
      </c>
      <c r="G141">
        <f>SUM('All_India_Index_Upto_April23 (1'!$E141:$Q141)</f>
        <v>1759.8</v>
      </c>
      <c r="H141">
        <f>SUM('All_India_Index_Upto_April23 (1'!R141)</f>
        <v>142</v>
      </c>
      <c r="I141">
        <f>SUM('All_India_Index_Upto_April23 (1'!$S141:$U141)</f>
        <v>400.1</v>
      </c>
      <c r="J141">
        <f>SUM('All_India_Index_Upto_April23 (1'!$V141:$X141)</f>
        <v>382.7</v>
      </c>
      <c r="K141">
        <f>SUM('All_India_Index_Upto_April23 (1'!$Y141:$AA141)</f>
        <v>381.8</v>
      </c>
      <c r="L141">
        <f>SUM('All_India_Index_Upto_April23 (1'!$AB141:$AD141)</f>
        <v>363.5</v>
      </c>
      <c r="M141">
        <v>131.19999999999999</v>
      </c>
    </row>
    <row r="142" spans="4:13" x14ac:dyDescent="0.3">
      <c r="D142" t="s">
        <v>29</v>
      </c>
      <c r="E142">
        <v>2016</v>
      </c>
      <c r="F142" t="s">
        <v>41</v>
      </c>
      <c r="G142">
        <f>SUM('All_India_Index_Upto_April23 (1'!$E142:$Q142)</f>
        <v>1755.2</v>
      </c>
      <c r="H142">
        <f>SUM('All_India_Index_Upto_April23 (1'!R142)</f>
        <v>144.30000000000001</v>
      </c>
      <c r="I142">
        <f>SUM('All_India_Index_Upto_April23 (1'!$S142:$U142)</f>
        <v>380.2</v>
      </c>
      <c r="J142">
        <f>SUM('All_India_Index_Upto_April23 (1'!$V142:$X142)</f>
        <v>370</v>
      </c>
      <c r="K142">
        <f>SUM('All_India_Index_Upto_April23 (1'!$Y142:$AA142)</f>
        <v>375.5</v>
      </c>
      <c r="L142">
        <f>SUM('All_India_Index_Upto_April23 (1'!$AB142:$AD142)</f>
        <v>356.40000000000003</v>
      </c>
      <c r="M142">
        <v>128.5</v>
      </c>
    </row>
    <row r="143" spans="4:13" x14ac:dyDescent="0.3">
      <c r="D143" t="s">
        <v>27</v>
      </c>
      <c r="E143">
        <v>2016</v>
      </c>
      <c r="F143" t="s">
        <v>42</v>
      </c>
      <c r="G143">
        <f>SUM('All_India_Index_Upto_April23 (1'!$E143:$Q143)</f>
        <v>1749.1</v>
      </c>
      <c r="H143">
        <f>SUM('All_India_Index_Upto_April23 (1'!R143)</f>
        <v>142.4</v>
      </c>
      <c r="I143">
        <f>SUM('All_India_Index_Upto_April23 (1'!$S143:$U143)</f>
        <v>415.3</v>
      </c>
      <c r="J143">
        <f>SUM('All_India_Index_Upto_April23 (1'!$V143:$X143)</f>
        <v>393.4</v>
      </c>
      <c r="K143">
        <f>SUM('All_India_Index_Upto_April23 (1'!$Y143:$AA143)</f>
        <v>385.79999999999995</v>
      </c>
      <c r="L143">
        <f>SUM('All_India_Index_Upto_April23 (1'!$AB143:$AD143)</f>
        <v>372.2</v>
      </c>
      <c r="M143">
        <v>132.80000000000001</v>
      </c>
    </row>
    <row r="144" spans="4:13" x14ac:dyDescent="0.3">
      <c r="D144" t="s">
        <v>30</v>
      </c>
      <c r="E144">
        <v>2016</v>
      </c>
      <c r="F144" t="s">
        <v>42</v>
      </c>
      <c r="G144">
        <f>SUM('All_India_Index_Upto_April23 (1'!$E144:$Q144)</f>
        <v>1740.7</v>
      </c>
      <c r="H144">
        <f>SUM('All_India_Index_Upto_April23 (1'!R144)</f>
        <v>143.1</v>
      </c>
      <c r="I144">
        <f>SUM('All_India_Index_Upto_April23 (1'!$S144:$U144)</f>
        <v>401.5</v>
      </c>
      <c r="J144">
        <f>SUM('All_India_Index_Upto_April23 (1'!$V144:$X144)</f>
        <v>384.29999999999995</v>
      </c>
      <c r="K144">
        <f>SUM('All_India_Index_Upto_April23 (1'!$Y144:$AA144)</f>
        <v>381.1</v>
      </c>
      <c r="L144">
        <f>SUM('All_India_Index_Upto_April23 (1'!$AB144:$AD144)</f>
        <v>364.1</v>
      </c>
      <c r="M144">
        <v>130.4</v>
      </c>
    </row>
    <row r="145" spans="4:13" x14ac:dyDescent="0.3">
      <c r="D145" t="s">
        <v>29</v>
      </c>
      <c r="E145">
        <v>2016</v>
      </c>
      <c r="F145" t="s">
        <v>42</v>
      </c>
      <c r="G145">
        <f>SUM('All_India_Index_Upto_April23 (1'!$E145:$Q145)</f>
        <v>1729.8</v>
      </c>
      <c r="H145">
        <f>SUM('All_India_Index_Upto_April23 (1'!R145)</f>
        <v>145</v>
      </c>
      <c r="I145">
        <f>SUM('All_India_Index_Upto_April23 (1'!$S145:$U145)</f>
        <v>381</v>
      </c>
      <c r="J145">
        <f>SUM('All_India_Index_Upto_April23 (1'!$V145:$X145)</f>
        <v>371.3</v>
      </c>
      <c r="K145">
        <f>SUM('All_India_Index_Upto_April23 (1'!$Y145:$AA145)</f>
        <v>374.5</v>
      </c>
      <c r="L145">
        <f>SUM('All_India_Index_Upto_April23 (1'!$AB145:$AD145)</f>
        <v>356.9</v>
      </c>
      <c r="M145">
        <v>127.6</v>
      </c>
    </row>
    <row r="146" spans="4:13" x14ac:dyDescent="0.3">
      <c r="D146" t="s">
        <v>27</v>
      </c>
      <c r="E146">
        <v>2017</v>
      </c>
      <c r="F146" t="s">
        <v>28</v>
      </c>
      <c r="G146">
        <f>SUM('All_India_Index_Upto_April23 (1'!$E146:$Q146)</f>
        <v>1737.3000000000002</v>
      </c>
      <c r="H146">
        <f>SUM('All_India_Index_Upto_April23 (1'!R146)</f>
        <v>143.1</v>
      </c>
      <c r="I146">
        <f>SUM('All_India_Index_Upto_April23 (1'!$S146:$U146)</f>
        <v>416.5</v>
      </c>
      <c r="J146">
        <f>SUM('All_India_Index_Upto_April23 (1'!$V146:$X146)</f>
        <v>394.9</v>
      </c>
      <c r="K146">
        <f>SUM('All_India_Index_Upto_April23 (1'!$Y146:$AA146)</f>
        <v>386.79999999999995</v>
      </c>
      <c r="L146">
        <f>SUM('All_India_Index_Upto_April23 (1'!$AB146:$AD146)</f>
        <v>372.7</v>
      </c>
      <c r="M146">
        <v>132.4</v>
      </c>
    </row>
    <row r="147" spans="4:13" x14ac:dyDescent="0.3">
      <c r="D147" t="s">
        <v>30</v>
      </c>
      <c r="E147">
        <v>2017</v>
      </c>
      <c r="F147" t="s">
        <v>28</v>
      </c>
      <c r="G147">
        <f>SUM('All_India_Index_Upto_April23 (1'!$E147:$Q147)</f>
        <v>1727.2999999999995</v>
      </c>
      <c r="H147">
        <f>SUM('All_India_Index_Upto_April23 (1'!R147)</f>
        <v>143.80000000000001</v>
      </c>
      <c r="I147">
        <f>SUM('All_India_Index_Upto_April23 (1'!$S147:$U147)</f>
        <v>402.4</v>
      </c>
      <c r="J147">
        <f>SUM('All_India_Index_Upto_April23 (1'!$V147:$X147)</f>
        <v>385.79999999999995</v>
      </c>
      <c r="K147">
        <f>SUM('All_India_Index_Upto_April23 (1'!$Y147:$AA147)</f>
        <v>382.1</v>
      </c>
      <c r="L147">
        <f>SUM('All_India_Index_Upto_April23 (1'!$AB147:$AD147)</f>
        <v>365.6</v>
      </c>
      <c r="M147">
        <v>130.30000000000001</v>
      </c>
    </row>
    <row r="148" spans="4:13" x14ac:dyDescent="0.3">
      <c r="D148" t="s">
        <v>29</v>
      </c>
      <c r="E148">
        <v>2017</v>
      </c>
      <c r="F148" t="s">
        <v>28</v>
      </c>
      <c r="G148">
        <f>SUM('All_India_Index_Upto_April23 (1'!$E148:$Q148)</f>
        <v>1713.2</v>
      </c>
      <c r="H148">
        <f>SUM('All_India_Index_Upto_April23 (1'!R148)</f>
        <v>145.6</v>
      </c>
      <c r="I148">
        <f>SUM('All_India_Index_Upto_April23 (1'!$S148:$U148)</f>
        <v>381.5</v>
      </c>
      <c r="J148">
        <f>SUM('All_India_Index_Upto_April23 (1'!$V148:$X148)</f>
        <v>372.7</v>
      </c>
      <c r="K148">
        <f>SUM('All_India_Index_Upto_April23 (1'!$Y148:$AA148)</f>
        <v>375.9</v>
      </c>
      <c r="L148">
        <f>SUM('All_India_Index_Upto_April23 (1'!$AB148:$AD148)</f>
        <v>359.29999999999995</v>
      </c>
      <c r="M148">
        <v>127.8</v>
      </c>
    </row>
    <row r="149" spans="4:13" x14ac:dyDescent="0.3">
      <c r="D149" t="s">
        <v>27</v>
      </c>
      <c r="E149">
        <v>2017</v>
      </c>
      <c r="F149" t="s">
        <v>31</v>
      </c>
      <c r="G149">
        <f>SUM('All_India_Index_Upto_April23 (1'!$E149:$Q149)</f>
        <v>1734.5000000000002</v>
      </c>
      <c r="H149">
        <f>SUM('All_India_Index_Upto_April23 (1'!R149)</f>
        <v>143.69999999999999</v>
      </c>
      <c r="I149">
        <f>SUM('All_India_Index_Upto_April23 (1'!$S149:$U149)</f>
        <v>416.90000000000003</v>
      </c>
      <c r="J149">
        <f>SUM('All_India_Index_Upto_April23 (1'!$V149:$X149)</f>
        <v>397.29999999999995</v>
      </c>
      <c r="K149">
        <f>SUM('All_India_Index_Upto_April23 (1'!$Y149:$AA149)</f>
        <v>388.20000000000005</v>
      </c>
      <c r="L149">
        <f>SUM('All_India_Index_Upto_April23 (1'!$AB149:$AD149)</f>
        <v>374.2</v>
      </c>
      <c r="M149">
        <v>132.6</v>
      </c>
    </row>
    <row r="150" spans="4:13" x14ac:dyDescent="0.3">
      <c r="D150" t="s">
        <v>30</v>
      </c>
      <c r="E150">
        <v>2017</v>
      </c>
      <c r="F150" t="s">
        <v>31</v>
      </c>
      <c r="G150">
        <f>SUM('All_India_Index_Upto_April23 (1'!$E150:$Q150)</f>
        <v>1722.3000000000002</v>
      </c>
      <c r="H150">
        <f>SUM('All_India_Index_Upto_April23 (1'!R150)</f>
        <v>144.4</v>
      </c>
      <c r="I150">
        <f>SUM('All_India_Index_Upto_April23 (1'!$S150:$U150)</f>
        <v>403</v>
      </c>
      <c r="J150">
        <f>SUM('All_India_Index_Upto_April23 (1'!$V150:$X150)</f>
        <v>388.09999999999997</v>
      </c>
      <c r="K150">
        <f>SUM('All_India_Index_Upto_April23 (1'!$Y150:$AA150)</f>
        <v>383.4</v>
      </c>
      <c r="L150">
        <f>SUM('All_India_Index_Upto_April23 (1'!$AB150:$AD150)</f>
        <v>366.8</v>
      </c>
      <c r="M150">
        <v>130.6</v>
      </c>
    </row>
    <row r="151" spans="4:13" x14ac:dyDescent="0.3">
      <c r="D151" t="s">
        <v>29</v>
      </c>
      <c r="E151">
        <v>2017</v>
      </c>
      <c r="F151" t="s">
        <v>31</v>
      </c>
      <c r="G151">
        <f>SUM('All_India_Index_Upto_April23 (1'!$E151:$Q151)</f>
        <v>1705.3000000000002</v>
      </c>
      <c r="H151">
        <f>SUM('All_India_Index_Upto_April23 (1'!R151)</f>
        <v>146.30000000000001</v>
      </c>
      <c r="I151">
        <f>SUM('All_India_Index_Upto_April23 (1'!$S151:$U151)</f>
        <v>382.3</v>
      </c>
      <c r="J151">
        <f>SUM('All_India_Index_Upto_April23 (1'!$V151:$X151)</f>
        <v>375</v>
      </c>
      <c r="K151">
        <f>SUM('All_India_Index_Upto_April23 (1'!$Y151:$AA151)</f>
        <v>377</v>
      </c>
      <c r="L151">
        <f>SUM('All_India_Index_Upto_April23 (1'!$AB151:$AD151)</f>
        <v>360.1</v>
      </c>
      <c r="M151">
        <v>128.19999999999999</v>
      </c>
    </row>
    <row r="152" spans="4:13" x14ac:dyDescent="0.3">
      <c r="D152" t="s">
        <v>27</v>
      </c>
      <c r="E152">
        <v>2017</v>
      </c>
      <c r="F152" t="s">
        <v>32</v>
      </c>
      <c r="G152">
        <f>SUM('All_India_Index_Upto_April23 (1'!$E152:$Q152)</f>
        <v>1728.5000000000002</v>
      </c>
      <c r="H152">
        <f>SUM('All_India_Index_Upto_April23 (1'!R152)</f>
        <v>144.19999999999999</v>
      </c>
      <c r="I152">
        <f>SUM('All_India_Index_Upto_April23 (1'!$S152:$U152)</f>
        <v>418.59999999999997</v>
      </c>
      <c r="J152">
        <f>SUM('All_India_Index_Upto_April23 (1'!$V152:$X152)</f>
        <v>399.4</v>
      </c>
      <c r="K152">
        <f>SUM('All_India_Index_Upto_April23 (1'!$Y152:$AA152)</f>
        <v>389.09999999999997</v>
      </c>
      <c r="L152">
        <f>SUM('All_India_Index_Upto_April23 (1'!$AB152:$AD152)</f>
        <v>375.5</v>
      </c>
      <c r="M152">
        <v>132.80000000000001</v>
      </c>
    </row>
    <row r="153" spans="4:13" x14ac:dyDescent="0.3">
      <c r="D153" t="s">
        <v>30</v>
      </c>
      <c r="E153">
        <v>2017</v>
      </c>
      <c r="F153" t="s">
        <v>32</v>
      </c>
      <c r="G153">
        <f>SUM('All_India_Index_Upto_April23 (1'!$E153:$Q153)</f>
        <v>1718.9</v>
      </c>
      <c r="H153">
        <f>SUM('All_India_Index_Upto_April23 (1'!R153)</f>
        <v>145.1</v>
      </c>
      <c r="I153">
        <f>SUM('All_India_Index_Upto_April23 (1'!$S153:$U153)</f>
        <v>404.29999999999995</v>
      </c>
      <c r="J153">
        <f>SUM('All_India_Index_Upto_April23 (1'!$V153:$X153)</f>
        <v>390.29999999999995</v>
      </c>
      <c r="K153">
        <f>SUM('All_India_Index_Upto_April23 (1'!$Y153:$AA153)</f>
        <v>384.2</v>
      </c>
      <c r="L153">
        <f>SUM('All_India_Index_Upto_April23 (1'!$AB153:$AD153)</f>
        <v>367.7</v>
      </c>
      <c r="M153">
        <v>130.9</v>
      </c>
    </row>
    <row r="154" spans="4:13" x14ac:dyDescent="0.3">
      <c r="D154" t="s">
        <v>29</v>
      </c>
      <c r="E154">
        <v>2017</v>
      </c>
      <c r="F154" t="s">
        <v>32</v>
      </c>
      <c r="G154">
        <f>SUM('All_India_Index_Upto_April23 (1'!$E154:$Q154)</f>
        <v>1705.6999999999998</v>
      </c>
      <c r="H154">
        <f>SUM('All_India_Index_Upto_April23 (1'!R154)</f>
        <v>147.5</v>
      </c>
      <c r="I154">
        <f>SUM('All_India_Index_Upto_April23 (1'!$S154:$U154)</f>
        <v>383.20000000000005</v>
      </c>
      <c r="J154">
        <f>SUM('All_India_Index_Upto_April23 (1'!$V154:$X154)</f>
        <v>377.5</v>
      </c>
      <c r="K154">
        <f>SUM('All_India_Index_Upto_April23 (1'!$Y154:$AA154)</f>
        <v>377.6</v>
      </c>
      <c r="L154">
        <f>SUM('All_India_Index_Upto_April23 (1'!$AB154:$AD154)</f>
        <v>360.6</v>
      </c>
      <c r="M154">
        <v>128.69999999999999</v>
      </c>
    </row>
    <row r="155" spans="4:13" x14ac:dyDescent="0.3">
      <c r="D155" t="s">
        <v>27</v>
      </c>
      <c r="E155">
        <v>2017</v>
      </c>
      <c r="F155" t="s">
        <v>33</v>
      </c>
      <c r="G155">
        <f>SUM('All_India_Index_Upto_April23 (1'!$E155:$Q155)</f>
        <v>1726.3</v>
      </c>
      <c r="H155">
        <f>SUM('All_India_Index_Upto_April23 (1'!R155)</f>
        <v>144.4</v>
      </c>
      <c r="I155">
        <f>SUM('All_India_Index_Upto_April23 (1'!$S155:$U155)</f>
        <v>420.80000000000007</v>
      </c>
      <c r="J155">
        <f>SUM('All_India_Index_Upto_April23 (1'!$V155:$X155)</f>
        <v>401</v>
      </c>
      <c r="K155">
        <f>SUM('All_India_Index_Upto_April23 (1'!$Y155:$AA155)</f>
        <v>390.4</v>
      </c>
      <c r="L155">
        <f>SUM('All_India_Index_Upto_April23 (1'!$AB155:$AD155)</f>
        <v>375</v>
      </c>
      <c r="M155">
        <v>132.9</v>
      </c>
    </row>
    <row r="156" spans="4:13" x14ac:dyDescent="0.3">
      <c r="D156" t="s">
        <v>30</v>
      </c>
      <c r="E156">
        <v>2017</v>
      </c>
      <c r="F156" t="s">
        <v>33</v>
      </c>
      <c r="G156">
        <f>SUM('All_India_Index_Upto_April23 (1'!$E156:$Q156)</f>
        <v>1718.4</v>
      </c>
      <c r="H156">
        <f>SUM('All_India_Index_Upto_April23 (1'!R156)</f>
        <v>145.4</v>
      </c>
      <c r="I156">
        <f>SUM('All_India_Index_Upto_April23 (1'!$S156:$U156)</f>
        <v>406.1</v>
      </c>
      <c r="J156">
        <f>SUM('All_India_Index_Upto_April23 (1'!$V156:$X156)</f>
        <v>391.9</v>
      </c>
      <c r="K156">
        <f>SUM('All_India_Index_Upto_April23 (1'!$Y156:$AA156)</f>
        <v>385.7</v>
      </c>
      <c r="L156">
        <f>SUM('All_India_Index_Upto_April23 (1'!$AB156:$AD156)</f>
        <v>366.79999999999995</v>
      </c>
      <c r="M156">
        <v>131.1</v>
      </c>
    </row>
    <row r="157" spans="4:13" x14ac:dyDescent="0.3">
      <c r="D157" t="s">
        <v>29</v>
      </c>
      <c r="E157">
        <v>2017</v>
      </c>
      <c r="F157" t="s">
        <v>33</v>
      </c>
      <c r="G157">
        <f>SUM('All_India_Index_Upto_April23 (1'!$E157:$Q157)</f>
        <v>1708.1</v>
      </c>
      <c r="H157">
        <f>SUM('All_India_Index_Upto_April23 (1'!R157)</f>
        <v>148</v>
      </c>
      <c r="I157">
        <f>SUM('All_India_Index_Upto_April23 (1'!$S157:$U157)</f>
        <v>384.2</v>
      </c>
      <c r="J157">
        <f>SUM('All_India_Index_Upto_April23 (1'!$V157:$X157)</f>
        <v>379.1</v>
      </c>
      <c r="K157">
        <f>SUM('All_India_Index_Upto_April23 (1'!$Y157:$AA157)</f>
        <v>379.20000000000005</v>
      </c>
      <c r="L157">
        <f>SUM('All_India_Index_Upto_April23 (1'!$AB157:$AD157)</f>
        <v>359.4</v>
      </c>
      <c r="M157">
        <v>129.1</v>
      </c>
    </row>
    <row r="158" spans="4:13" x14ac:dyDescent="0.3">
      <c r="D158" t="s">
        <v>27</v>
      </c>
      <c r="E158">
        <v>2017</v>
      </c>
      <c r="F158" t="s">
        <v>34</v>
      </c>
      <c r="G158">
        <f>SUM('All_India_Index_Upto_April23 (1'!$E158:$Q158)</f>
        <v>1727.4999999999995</v>
      </c>
      <c r="H158">
        <f>SUM('All_India_Index_Upto_April23 (1'!R158)</f>
        <v>145.5</v>
      </c>
      <c r="I158">
        <f>SUM('All_India_Index_Upto_April23 (1'!$S158:$U158)</f>
        <v>421.6</v>
      </c>
      <c r="J158">
        <f>SUM('All_India_Index_Upto_April23 (1'!$V158:$X158)</f>
        <v>402</v>
      </c>
      <c r="K158">
        <f>SUM('All_India_Index_Upto_April23 (1'!$Y158:$AA158)</f>
        <v>391.40000000000003</v>
      </c>
      <c r="L158">
        <f>SUM('All_India_Index_Upto_April23 (1'!$AB158:$AD158)</f>
        <v>376.70000000000005</v>
      </c>
      <c r="M158">
        <v>133.30000000000001</v>
      </c>
    </row>
    <row r="159" spans="4:13" x14ac:dyDescent="0.3">
      <c r="D159" t="s">
        <v>30</v>
      </c>
      <c r="E159">
        <v>2017</v>
      </c>
      <c r="F159" t="s">
        <v>34</v>
      </c>
      <c r="G159">
        <f>SUM('All_India_Index_Upto_April23 (1'!$E159:$Q159)</f>
        <v>1719.6000000000001</v>
      </c>
      <c r="H159">
        <f>SUM('All_India_Index_Upto_April23 (1'!R159)</f>
        <v>146.19999999999999</v>
      </c>
      <c r="I159">
        <f>SUM('All_India_Index_Upto_April23 (1'!$S159:$U159)</f>
        <v>406.8</v>
      </c>
      <c r="J159">
        <f>SUM('All_India_Index_Upto_April23 (1'!$V159:$X159)</f>
        <v>392.4</v>
      </c>
      <c r="K159">
        <f>SUM('All_India_Index_Upto_April23 (1'!$Y159:$AA159)</f>
        <v>386.20000000000005</v>
      </c>
      <c r="L159">
        <f>SUM('All_India_Index_Upto_April23 (1'!$AB159:$AD159)</f>
        <v>367.7</v>
      </c>
      <c r="M159">
        <v>131.4</v>
      </c>
    </row>
    <row r="160" spans="4:13" x14ac:dyDescent="0.3">
      <c r="D160" t="s">
        <v>29</v>
      </c>
      <c r="E160">
        <v>2017</v>
      </c>
      <c r="F160" t="s">
        <v>34</v>
      </c>
      <c r="G160">
        <f>SUM('All_India_Index_Upto_April23 (1'!$E160:$Q160)</f>
        <v>1709.6</v>
      </c>
      <c r="H160">
        <f>SUM('All_India_Index_Upto_April23 (1'!R160)</f>
        <v>148.30000000000001</v>
      </c>
      <c r="I160">
        <f>SUM('All_India_Index_Upto_April23 (1'!$S160:$U160)</f>
        <v>384.9</v>
      </c>
      <c r="J160">
        <f>SUM('All_India_Index_Upto_April23 (1'!$V160:$X160)</f>
        <v>378.7</v>
      </c>
      <c r="K160">
        <f>SUM('All_India_Index_Upto_April23 (1'!$Y160:$AA160)</f>
        <v>379.4</v>
      </c>
      <c r="L160">
        <f>SUM('All_India_Index_Upto_April23 (1'!$AB160:$AD160)</f>
        <v>359.7</v>
      </c>
      <c r="M160">
        <v>129.30000000000001</v>
      </c>
    </row>
    <row r="161" spans="4:13" x14ac:dyDescent="0.3">
      <c r="D161" t="s">
        <v>27</v>
      </c>
      <c r="E161">
        <v>2017</v>
      </c>
      <c r="F161" t="s">
        <v>35</v>
      </c>
      <c r="G161">
        <f>SUM('All_India_Index_Upto_April23 (1'!$E161:$Q161)</f>
        <v>1738.8000000000002</v>
      </c>
      <c r="H161">
        <f>SUM('All_India_Index_Upto_April23 (1'!R161)</f>
        <v>145.80000000000001</v>
      </c>
      <c r="I161">
        <f>SUM('All_India_Index_Upto_April23 (1'!$S161:$U161)</f>
        <v>423.09999999999997</v>
      </c>
      <c r="J161">
        <f>SUM('All_India_Index_Upto_April23 (1'!$V161:$X161)</f>
        <v>401.40000000000003</v>
      </c>
      <c r="K161">
        <f>SUM('All_India_Index_Upto_April23 (1'!$Y161:$AA161)</f>
        <v>392.3</v>
      </c>
      <c r="L161">
        <f>SUM('All_India_Index_Upto_April23 (1'!$AB161:$AD161)</f>
        <v>377.3</v>
      </c>
      <c r="M161">
        <v>133.9</v>
      </c>
    </row>
    <row r="162" spans="4:13" x14ac:dyDescent="0.3">
      <c r="D162" t="s">
        <v>30</v>
      </c>
      <c r="E162">
        <v>2017</v>
      </c>
      <c r="F162" t="s">
        <v>35</v>
      </c>
      <c r="G162">
        <f>SUM('All_India_Index_Upto_April23 (1'!$E162:$Q162)</f>
        <v>1734.7</v>
      </c>
      <c r="H162">
        <f>SUM('All_India_Index_Upto_April23 (1'!R162)</f>
        <v>146.5</v>
      </c>
      <c r="I162">
        <f>SUM('All_India_Index_Upto_April23 (1'!$S162:$U162)</f>
        <v>407.7</v>
      </c>
      <c r="J162">
        <f>SUM('All_India_Index_Upto_April23 (1'!$V162:$X162)</f>
        <v>391.40000000000003</v>
      </c>
      <c r="K162">
        <f>SUM('All_India_Index_Upto_April23 (1'!$Y162:$AA162)</f>
        <v>387.3</v>
      </c>
      <c r="L162">
        <f>SUM('All_India_Index_Upto_April23 (1'!$AB162:$AD162)</f>
        <v>367.9</v>
      </c>
      <c r="M162">
        <v>132</v>
      </c>
    </row>
    <row r="163" spans="4:13" x14ac:dyDescent="0.3">
      <c r="D163" t="s">
        <v>29</v>
      </c>
      <c r="E163">
        <v>2017</v>
      </c>
      <c r="F163" t="s">
        <v>35</v>
      </c>
      <c r="G163">
        <f>SUM('All_India_Index_Upto_April23 (1'!$E163:$Q163)</f>
        <v>1731.0000000000002</v>
      </c>
      <c r="H163">
        <f>SUM('All_India_Index_Upto_April23 (1'!R163)</f>
        <v>148.6</v>
      </c>
      <c r="I163">
        <f>SUM('All_India_Index_Upto_April23 (1'!$S163:$U163)</f>
        <v>384.9</v>
      </c>
      <c r="J163">
        <f>SUM('All_India_Index_Upto_April23 (1'!$V163:$X163)</f>
        <v>377.2</v>
      </c>
      <c r="K163">
        <f>SUM('All_India_Index_Upto_April23 (1'!$Y163:$AA163)</f>
        <v>380.6</v>
      </c>
      <c r="L163">
        <f>SUM('All_India_Index_Upto_April23 (1'!$AB163:$AD163)</f>
        <v>359.5</v>
      </c>
      <c r="M163">
        <v>129.9</v>
      </c>
    </row>
    <row r="164" spans="4:13" x14ac:dyDescent="0.3">
      <c r="D164" t="s">
        <v>27</v>
      </c>
      <c r="E164">
        <v>2017</v>
      </c>
      <c r="F164" t="s">
        <v>36</v>
      </c>
      <c r="G164">
        <f>SUM('All_India_Index_Upto_April23 (1'!$E164:$Q164)</f>
        <v>1772.9</v>
      </c>
      <c r="H164">
        <f>SUM('All_India_Index_Upto_April23 (1'!R164)</f>
        <v>147.4</v>
      </c>
      <c r="I164">
        <f>SUM('All_India_Index_Upto_April23 (1'!$S164:$U164)</f>
        <v>425.9</v>
      </c>
      <c r="J164">
        <f>SUM('All_India_Index_Upto_April23 (1'!$V164:$X164)</f>
        <v>404</v>
      </c>
      <c r="K164">
        <f>SUM('All_India_Index_Upto_April23 (1'!$Y164:$AA164)</f>
        <v>395.1</v>
      </c>
      <c r="L164">
        <f>SUM('All_India_Index_Upto_April23 (1'!$AB164:$AD164)</f>
        <v>378.29999999999995</v>
      </c>
      <c r="M164">
        <v>136.19999999999999</v>
      </c>
    </row>
    <row r="165" spans="4:13" x14ac:dyDescent="0.3">
      <c r="D165" t="s">
        <v>30</v>
      </c>
      <c r="E165">
        <v>2017</v>
      </c>
      <c r="F165" t="s">
        <v>36</v>
      </c>
      <c r="G165">
        <f>SUM('All_India_Index_Upto_April23 (1'!$E165:$Q165)</f>
        <v>1769.3999999999999</v>
      </c>
      <c r="H165">
        <f>SUM('All_India_Index_Upto_April23 (1'!R165)</f>
        <v>148.19999999999999</v>
      </c>
      <c r="I165">
        <f>SUM('All_India_Index_Upto_April23 (1'!$S165:$U165)</f>
        <v>409.7</v>
      </c>
      <c r="J165">
        <f>SUM('All_India_Index_Upto_April23 (1'!$V165:$X165)</f>
        <v>393.9</v>
      </c>
      <c r="K165">
        <f>SUM('All_India_Index_Upto_April23 (1'!$Y165:$AA165)</f>
        <v>389.8</v>
      </c>
      <c r="L165">
        <f>SUM('All_India_Index_Upto_April23 (1'!$AB165:$AD165)</f>
        <v>368.5</v>
      </c>
      <c r="M165">
        <v>134.19999999999999</v>
      </c>
    </row>
    <row r="166" spans="4:13" x14ac:dyDescent="0.3">
      <c r="D166" t="s">
        <v>29</v>
      </c>
      <c r="E166">
        <v>2017</v>
      </c>
      <c r="F166" t="s">
        <v>36</v>
      </c>
      <c r="G166">
        <f>SUM('All_India_Index_Upto_April23 (1'!$E166:$Q166)</f>
        <v>1768.1</v>
      </c>
      <c r="H166">
        <f>SUM('All_India_Index_Upto_April23 (1'!R166)</f>
        <v>150.5</v>
      </c>
      <c r="I166">
        <f>SUM('All_India_Index_Upto_April23 (1'!$S166:$U166)</f>
        <v>385.70000000000005</v>
      </c>
      <c r="J166">
        <f>SUM('All_India_Index_Upto_April23 (1'!$V166:$X166)</f>
        <v>379.5</v>
      </c>
      <c r="K166">
        <f>SUM('All_India_Index_Upto_April23 (1'!$Y166:$AA166)</f>
        <v>382.9</v>
      </c>
      <c r="L166">
        <f>SUM('All_India_Index_Upto_April23 (1'!$AB166:$AD166)</f>
        <v>359.7</v>
      </c>
      <c r="M166">
        <v>131.80000000000001</v>
      </c>
    </row>
    <row r="167" spans="4:13" x14ac:dyDescent="0.3">
      <c r="D167" t="s">
        <v>27</v>
      </c>
      <c r="E167">
        <v>2017</v>
      </c>
      <c r="F167" t="s">
        <v>37</v>
      </c>
      <c r="G167">
        <f>SUM('All_India_Index_Upto_April23 (1'!$E167:$Q167)</f>
        <v>1792.4999999999998</v>
      </c>
      <c r="H167">
        <f>SUM('All_India_Index_Upto_April23 (1'!R167)</f>
        <v>149</v>
      </c>
      <c r="I167">
        <f>SUM('All_India_Index_Upto_April23 (1'!$S167:$U167)</f>
        <v>429</v>
      </c>
      <c r="J167">
        <f>SUM('All_India_Index_Upto_April23 (1'!$V167:$X167)</f>
        <v>408.1</v>
      </c>
      <c r="K167">
        <f>SUM('All_India_Index_Upto_April23 (1'!$Y167:$AA167)</f>
        <v>398.59999999999997</v>
      </c>
      <c r="L167">
        <f>SUM('All_India_Index_Upto_April23 (1'!$AB167:$AD167)</f>
        <v>381.5</v>
      </c>
      <c r="M167">
        <v>137.80000000000001</v>
      </c>
    </row>
    <row r="168" spans="4:13" x14ac:dyDescent="0.3">
      <c r="D168" t="s">
        <v>30</v>
      </c>
      <c r="E168">
        <v>2017</v>
      </c>
      <c r="F168" t="s">
        <v>37</v>
      </c>
      <c r="G168">
        <f>SUM('All_India_Index_Upto_April23 (1'!$E168:$Q168)</f>
        <v>1783.8</v>
      </c>
      <c r="H168">
        <f>SUM('All_India_Index_Upto_April23 (1'!R168)</f>
        <v>149.80000000000001</v>
      </c>
      <c r="I168">
        <f>SUM('All_India_Index_Upto_April23 (1'!$S168:$U168)</f>
        <v>412.6</v>
      </c>
      <c r="J168">
        <f>SUM('All_India_Index_Upto_April23 (1'!$V168:$X168)</f>
        <v>397.00000000000006</v>
      </c>
      <c r="K168">
        <f>SUM('All_India_Index_Upto_April23 (1'!$Y168:$AA168)</f>
        <v>392.29999999999995</v>
      </c>
      <c r="L168">
        <f>SUM('All_India_Index_Upto_April23 (1'!$AB168:$AD168)</f>
        <v>371.4</v>
      </c>
      <c r="M168">
        <v>135.4</v>
      </c>
    </row>
    <row r="169" spans="4:13" x14ac:dyDescent="0.3">
      <c r="D169" t="s">
        <v>29</v>
      </c>
      <c r="E169">
        <v>2017</v>
      </c>
      <c r="F169" t="s">
        <v>37</v>
      </c>
      <c r="G169">
        <f>SUM('All_India_Index_Upto_April23 (1'!$E169:$Q169)</f>
        <v>1772.9999999999998</v>
      </c>
      <c r="H169">
        <f>SUM('All_India_Index_Upto_April23 (1'!R169)</f>
        <v>152.1</v>
      </c>
      <c r="I169">
        <f>SUM('All_India_Index_Upto_April23 (1'!$S169:$U169)</f>
        <v>388.4</v>
      </c>
      <c r="J169">
        <f>SUM('All_India_Index_Upto_April23 (1'!$V169:$X169)</f>
        <v>381</v>
      </c>
      <c r="K169">
        <f>SUM('All_India_Index_Upto_April23 (1'!$Y169:$AA169)</f>
        <v>384.7</v>
      </c>
      <c r="L169">
        <f>SUM('All_India_Index_Upto_April23 (1'!$AB169:$AD169)</f>
        <v>362.5</v>
      </c>
      <c r="M169">
        <v>132.69999999999999</v>
      </c>
    </row>
    <row r="170" spans="4:13" x14ac:dyDescent="0.3">
      <c r="D170" t="s">
        <v>27</v>
      </c>
      <c r="E170">
        <v>2017</v>
      </c>
      <c r="F170" t="s">
        <v>38</v>
      </c>
      <c r="G170">
        <f>SUM('All_India_Index_Upto_April23 (1'!$E170:$Q170)</f>
        <v>1784.3</v>
      </c>
      <c r="H170">
        <f>SUM('All_India_Index_Upto_April23 (1'!R170)</f>
        <v>149.80000000000001</v>
      </c>
      <c r="I170">
        <f>SUM('All_India_Index_Upto_April23 (1'!$S170:$U170)</f>
        <v>430.99999999999994</v>
      </c>
      <c r="J170">
        <f>SUM('All_India_Index_Upto_April23 (1'!$V170:$X170)</f>
        <v>411</v>
      </c>
      <c r="K170">
        <f>SUM('All_India_Index_Upto_April23 (1'!$Y170:$AA170)</f>
        <v>399.70000000000005</v>
      </c>
      <c r="L170">
        <f>SUM('All_India_Index_Upto_April23 (1'!$AB170:$AD170)</f>
        <v>383.8</v>
      </c>
      <c r="M170">
        <v>137.6</v>
      </c>
    </row>
    <row r="171" spans="4:13" x14ac:dyDescent="0.3">
      <c r="D171" t="s">
        <v>30</v>
      </c>
      <c r="E171">
        <v>2017</v>
      </c>
      <c r="F171" t="s">
        <v>38</v>
      </c>
      <c r="G171">
        <f>SUM('All_India_Index_Upto_April23 (1'!$E171:$Q171)</f>
        <v>1769.9999999999998</v>
      </c>
      <c r="H171">
        <f>SUM('All_India_Index_Upto_April23 (1'!R171)</f>
        <v>150.80000000000001</v>
      </c>
      <c r="I171">
        <f>SUM('All_India_Index_Upto_April23 (1'!$S171:$U171)</f>
        <v>414.5</v>
      </c>
      <c r="J171">
        <f>SUM('All_India_Index_Upto_April23 (1'!$V171:$X171)</f>
        <v>400</v>
      </c>
      <c r="K171">
        <f>SUM('All_India_Index_Upto_April23 (1'!$Y171:$AA171)</f>
        <v>393.70000000000005</v>
      </c>
      <c r="L171">
        <f>SUM('All_India_Index_Upto_April23 (1'!$AB171:$AD171)</f>
        <v>373.7</v>
      </c>
      <c r="M171">
        <v>135.19999999999999</v>
      </c>
    </row>
    <row r="172" spans="4:13" x14ac:dyDescent="0.3">
      <c r="D172" t="s">
        <v>29</v>
      </c>
      <c r="E172">
        <v>2017</v>
      </c>
      <c r="F172" t="s">
        <v>38</v>
      </c>
      <c r="G172">
        <f>SUM('All_India_Index_Upto_April23 (1'!$E172:$Q172)</f>
        <v>1749.7</v>
      </c>
      <c r="H172">
        <f>SUM('All_India_Index_Upto_April23 (1'!R172)</f>
        <v>153.6</v>
      </c>
      <c r="I172">
        <f>SUM('All_India_Index_Upto_April23 (1'!$S172:$U172)</f>
        <v>389.9</v>
      </c>
      <c r="J172">
        <f>SUM('All_India_Index_Upto_April23 (1'!$V172:$X172)</f>
        <v>384.4</v>
      </c>
      <c r="K172">
        <f>SUM('All_India_Index_Upto_April23 (1'!$Y172:$AA172)</f>
        <v>386.4</v>
      </c>
      <c r="L172">
        <f>SUM('All_India_Index_Upto_April23 (1'!$AB172:$AD172)</f>
        <v>364.7</v>
      </c>
      <c r="M172">
        <v>132.4</v>
      </c>
    </row>
    <row r="173" spans="4:13" x14ac:dyDescent="0.3">
      <c r="D173" t="s">
        <v>27</v>
      </c>
      <c r="E173">
        <v>2017</v>
      </c>
      <c r="F173" t="s">
        <v>39</v>
      </c>
      <c r="G173">
        <f>SUM('All_India_Index_Upto_April23 (1'!$E173:$Q173)</f>
        <v>1790.8999999999999</v>
      </c>
      <c r="H173">
        <f>SUM('All_India_Index_Upto_April23 (1'!R173)</f>
        <v>150.5</v>
      </c>
      <c r="I173">
        <f>SUM('All_India_Index_Upto_April23 (1'!$S173:$U173)</f>
        <v>433.99999999999994</v>
      </c>
      <c r="J173">
        <f>SUM('All_India_Index_Upto_April23 (1'!$V173:$X173)</f>
        <v>413.79999999999995</v>
      </c>
      <c r="K173">
        <f>SUM('All_India_Index_Upto_April23 (1'!$Y173:$AA173)</f>
        <v>401.70000000000005</v>
      </c>
      <c r="L173">
        <f>SUM('All_India_Index_Upto_April23 (1'!$AB173:$AD173)</f>
        <v>384.7</v>
      </c>
      <c r="M173">
        <v>138.30000000000001</v>
      </c>
    </row>
    <row r="174" spans="4:13" x14ac:dyDescent="0.3">
      <c r="D174" t="s">
        <v>30</v>
      </c>
      <c r="E174">
        <v>2017</v>
      </c>
      <c r="F174" t="s">
        <v>39</v>
      </c>
      <c r="G174">
        <f>SUM('All_India_Index_Upto_April23 (1'!$E174:$Q174)</f>
        <v>1779.6999999999998</v>
      </c>
      <c r="H174">
        <f>SUM('All_India_Index_Upto_April23 (1'!R174)</f>
        <v>151.6</v>
      </c>
      <c r="I174">
        <f>SUM('All_India_Index_Upto_April23 (1'!$S174:$U174)</f>
        <v>416.90000000000003</v>
      </c>
      <c r="J174">
        <f>SUM('All_India_Index_Upto_April23 (1'!$V174:$X174)</f>
        <v>403.1</v>
      </c>
      <c r="K174">
        <f>SUM('All_India_Index_Upto_April23 (1'!$Y174:$AA174)</f>
        <v>395.4</v>
      </c>
      <c r="L174">
        <f>SUM('All_India_Index_Upto_April23 (1'!$AB174:$AD174)</f>
        <v>373.9</v>
      </c>
      <c r="M174">
        <v>136.1</v>
      </c>
    </row>
    <row r="175" spans="4:13" x14ac:dyDescent="0.3">
      <c r="D175" t="s">
        <v>29</v>
      </c>
      <c r="E175">
        <v>2017</v>
      </c>
      <c r="F175" t="s">
        <v>39</v>
      </c>
      <c r="G175">
        <f>SUM('All_India_Index_Upto_April23 (1'!$E175:$Q175)</f>
        <v>1765.6999999999998</v>
      </c>
      <c r="H175">
        <f>SUM('All_India_Index_Upto_April23 (1'!R175)</f>
        <v>154.6</v>
      </c>
      <c r="I175">
        <f>SUM('All_India_Index_Upto_April23 (1'!$S175:$U175)</f>
        <v>391.5</v>
      </c>
      <c r="J175">
        <f>SUM('All_India_Index_Upto_April23 (1'!$V175:$X175)</f>
        <v>388.2</v>
      </c>
      <c r="K175">
        <f>SUM('All_India_Index_Upto_April23 (1'!$Y175:$AA175)</f>
        <v>387.5</v>
      </c>
      <c r="L175">
        <f>SUM('All_India_Index_Upto_April23 (1'!$AB175:$AD175)</f>
        <v>364.3</v>
      </c>
      <c r="M175">
        <v>133.5</v>
      </c>
    </row>
    <row r="176" spans="4:13" x14ac:dyDescent="0.3">
      <c r="D176" t="s">
        <v>27</v>
      </c>
      <c r="E176">
        <v>2017</v>
      </c>
      <c r="F176" t="s">
        <v>41</v>
      </c>
      <c r="G176">
        <f>SUM('All_India_Index_Upto_April23 (1'!$E176:$Q176)</f>
        <v>1817.7000000000003</v>
      </c>
      <c r="H176">
        <f>SUM('All_India_Index_Upto_April23 (1'!R176)</f>
        <v>152.1</v>
      </c>
      <c r="I176">
        <f>SUM('All_India_Index_Upto_April23 (1'!$S176:$U176)</f>
        <v>437</v>
      </c>
      <c r="J176">
        <f>SUM('All_India_Index_Upto_April23 (1'!$V176:$X176)</f>
        <v>419.1</v>
      </c>
      <c r="K176">
        <f>SUM('All_India_Index_Upto_April23 (1'!$Y176:$AA176)</f>
        <v>405.4</v>
      </c>
      <c r="L176">
        <f>SUM('All_India_Index_Upto_April23 (1'!$AB176:$AD176)</f>
        <v>387</v>
      </c>
      <c r="M176">
        <v>140</v>
      </c>
    </row>
    <row r="177" spans="4:13" x14ac:dyDescent="0.3">
      <c r="D177" t="s">
        <v>30</v>
      </c>
      <c r="E177">
        <v>2017</v>
      </c>
      <c r="F177" t="s">
        <v>41</v>
      </c>
      <c r="G177">
        <f>SUM('All_India_Index_Upto_April23 (1'!$E177:$Q177)</f>
        <v>1808.2</v>
      </c>
      <c r="H177">
        <f>SUM('All_India_Index_Upto_April23 (1'!R177)</f>
        <v>153.19999999999999</v>
      </c>
      <c r="I177">
        <f>SUM('All_India_Index_Upto_April23 (1'!$S177:$U177)</f>
        <v>419.6</v>
      </c>
      <c r="J177">
        <f>SUM('All_India_Index_Upto_April23 (1'!$V177:$X177)</f>
        <v>408.29999999999995</v>
      </c>
      <c r="K177">
        <f>SUM('All_India_Index_Upto_April23 (1'!$Y177:$AA177)</f>
        <v>398</v>
      </c>
      <c r="L177">
        <f>SUM('All_India_Index_Upto_April23 (1'!$AB177:$AD177)</f>
        <v>375.6</v>
      </c>
      <c r="M177">
        <v>137.6</v>
      </c>
    </row>
    <row r="178" spans="4:13" x14ac:dyDescent="0.3">
      <c r="D178" t="s">
        <v>29</v>
      </c>
      <c r="E178">
        <v>2017</v>
      </c>
      <c r="F178" t="s">
        <v>41</v>
      </c>
      <c r="G178">
        <f>SUM('All_India_Index_Upto_April23 (1'!$E178:$Q178)</f>
        <v>1796.7</v>
      </c>
      <c r="H178">
        <f>SUM('All_India_Index_Upto_April23 (1'!R178)</f>
        <v>156.19999999999999</v>
      </c>
      <c r="I178">
        <f>SUM('All_India_Index_Upto_April23 (1'!$S178:$U178)</f>
        <v>393.9</v>
      </c>
      <c r="J178">
        <f>SUM('All_India_Index_Upto_April23 (1'!$V178:$X178)</f>
        <v>393.1</v>
      </c>
      <c r="K178">
        <f>SUM('All_India_Index_Upto_April23 (1'!$Y178:$AA178)</f>
        <v>388.9</v>
      </c>
      <c r="L178">
        <f>SUM('All_India_Index_Upto_April23 (1'!$AB178:$AD178)</f>
        <v>365.29999999999995</v>
      </c>
      <c r="M178">
        <v>134.80000000000001</v>
      </c>
    </row>
    <row r="179" spans="4:13" x14ac:dyDescent="0.3">
      <c r="D179" t="s">
        <v>27</v>
      </c>
      <c r="E179">
        <v>2017</v>
      </c>
      <c r="F179" t="s">
        <v>42</v>
      </c>
      <c r="G179">
        <f>SUM('All_India_Index_Upto_April23 (1'!$E179:$Q179)</f>
        <v>1813.6000000000001</v>
      </c>
      <c r="H179">
        <f>SUM('All_India_Index_Upto_April23 (1'!R179)</f>
        <v>153.19999999999999</v>
      </c>
      <c r="I179">
        <f>SUM('All_India_Index_Upto_April23 (1'!$S179:$U179)</f>
        <v>437.09999999999997</v>
      </c>
      <c r="J179">
        <f>SUM('All_India_Index_Upto_April23 (1'!$V179:$X179)</f>
        <v>421.2</v>
      </c>
      <c r="K179">
        <f>SUM('All_India_Index_Upto_April23 (1'!$Y179:$AA179)</f>
        <v>405</v>
      </c>
      <c r="L179">
        <f>SUM('All_India_Index_Upto_April23 (1'!$AB179:$AD179)</f>
        <v>387.3</v>
      </c>
      <c r="M179">
        <v>139.80000000000001</v>
      </c>
    </row>
    <row r="180" spans="4:13" x14ac:dyDescent="0.3">
      <c r="D180" t="s">
        <v>30</v>
      </c>
      <c r="E180">
        <v>2017</v>
      </c>
      <c r="F180" t="s">
        <v>42</v>
      </c>
      <c r="G180">
        <f>SUM('All_India_Index_Upto_April23 (1'!$E180:$Q180)</f>
        <v>1794.9999999999998</v>
      </c>
      <c r="H180">
        <f>SUM('All_India_Index_Upto_April23 (1'!R180)</f>
        <v>154.19999999999999</v>
      </c>
      <c r="I180">
        <f>SUM('All_India_Index_Upto_April23 (1'!$S180:$U180)</f>
        <v>420.2</v>
      </c>
      <c r="J180">
        <f>SUM('All_India_Index_Upto_April23 (1'!$V180:$X180)</f>
        <v>410.4</v>
      </c>
      <c r="K180">
        <f>SUM('All_India_Index_Upto_April23 (1'!$Y180:$AA180)</f>
        <v>398.1</v>
      </c>
      <c r="L180">
        <f>SUM('All_India_Index_Upto_April23 (1'!$AB180:$AD180)</f>
        <v>376.1</v>
      </c>
      <c r="M180">
        <v>137.19999999999999</v>
      </c>
    </row>
    <row r="181" spans="4:13" x14ac:dyDescent="0.3">
      <c r="D181" t="s">
        <v>29</v>
      </c>
      <c r="E181">
        <v>2017</v>
      </c>
      <c r="F181" t="s">
        <v>42</v>
      </c>
      <c r="G181">
        <f>SUM('All_India_Index_Upto_April23 (1'!$E181:$Q181)</f>
        <v>1767.5</v>
      </c>
      <c r="H181">
        <f>SUM('All_India_Index_Upto_April23 (1'!R181)</f>
        <v>157</v>
      </c>
      <c r="I181">
        <f>SUM('All_India_Index_Upto_April23 (1'!$S181:$U181)</f>
        <v>395.2</v>
      </c>
      <c r="J181">
        <f>SUM('All_India_Index_Upto_April23 (1'!$V181:$X181)</f>
        <v>395.2</v>
      </c>
      <c r="K181">
        <f>SUM('All_India_Index_Upto_April23 (1'!$Y181:$AA181)</f>
        <v>389.5</v>
      </c>
      <c r="L181">
        <f>SUM('All_India_Index_Upto_April23 (1'!$AB181:$AD181)</f>
        <v>366</v>
      </c>
      <c r="M181">
        <v>134.1</v>
      </c>
    </row>
    <row r="182" spans="4:13" x14ac:dyDescent="0.3">
      <c r="D182" t="s">
        <v>27</v>
      </c>
      <c r="E182">
        <v>2018</v>
      </c>
      <c r="F182" t="s">
        <v>28</v>
      </c>
      <c r="G182">
        <f>SUM('All_India_Index_Upto_April23 (1'!$E182:$Q182)</f>
        <v>1800.7</v>
      </c>
      <c r="H182">
        <f>SUM('All_India_Index_Upto_April23 (1'!R182)</f>
        <v>153.6</v>
      </c>
      <c r="I182">
        <f>SUM('All_India_Index_Upto_April23 (1'!$S182:$U182)</f>
        <v>438.1</v>
      </c>
      <c r="J182">
        <f>SUM('All_India_Index_Upto_April23 (1'!$V182:$X182)</f>
        <v>422.50000000000006</v>
      </c>
      <c r="K182">
        <f>SUM('All_India_Index_Upto_April23 (1'!$Y182:$AA182)</f>
        <v>406.20000000000005</v>
      </c>
      <c r="L182">
        <f>SUM('All_India_Index_Upto_April23 (1'!$AB182:$AD182)</f>
        <v>389.3</v>
      </c>
      <c r="M182">
        <v>139.30000000000001</v>
      </c>
    </row>
    <row r="183" spans="4:13" x14ac:dyDescent="0.3">
      <c r="D183" t="s">
        <v>30</v>
      </c>
      <c r="E183">
        <v>2018</v>
      </c>
      <c r="F183" t="s">
        <v>28</v>
      </c>
      <c r="G183">
        <f>SUM('All_India_Index_Upto_April23 (1'!$E183:$Q183)</f>
        <v>1779.9</v>
      </c>
      <c r="H183">
        <f>SUM('All_India_Index_Upto_April23 (1'!R183)</f>
        <v>154.69999999999999</v>
      </c>
      <c r="I183">
        <f>SUM('All_India_Index_Upto_April23 (1'!$S183:$U183)</f>
        <v>421.3</v>
      </c>
      <c r="J183">
        <f>SUM('All_India_Index_Upto_April23 (1'!$V183:$X183)</f>
        <v>411.9</v>
      </c>
      <c r="K183">
        <f>SUM('All_India_Index_Upto_April23 (1'!$Y183:$AA183)</f>
        <v>399.6</v>
      </c>
      <c r="L183">
        <f>SUM('All_India_Index_Upto_April23 (1'!$AB183:$AD183)</f>
        <v>378.1</v>
      </c>
      <c r="M183">
        <v>136.9</v>
      </c>
    </row>
    <row r="184" spans="4:13" x14ac:dyDescent="0.3">
      <c r="D184" t="s">
        <v>29</v>
      </c>
      <c r="E184">
        <v>2018</v>
      </c>
      <c r="F184" t="s">
        <v>28</v>
      </c>
      <c r="G184">
        <f>SUM('All_India_Index_Upto_April23 (1'!$E184:$Q184)</f>
        <v>1748.3000000000002</v>
      </c>
      <c r="H184">
        <f>SUM('All_India_Index_Upto_April23 (1'!R184)</f>
        <v>157.69999999999999</v>
      </c>
      <c r="I184">
        <f>SUM('All_India_Index_Upto_April23 (1'!$S184:$U184)</f>
        <v>396.29999999999995</v>
      </c>
      <c r="J184">
        <f>SUM('All_India_Index_Upto_April23 (1'!$V184:$X184)</f>
        <v>397.2</v>
      </c>
      <c r="K184">
        <f>SUM('All_India_Index_Upto_April23 (1'!$Y184:$AA184)</f>
        <v>391.6</v>
      </c>
      <c r="L184">
        <f>SUM('All_India_Index_Upto_April23 (1'!$AB184:$AD184)</f>
        <v>368.3</v>
      </c>
      <c r="M184">
        <v>134.1</v>
      </c>
    </row>
    <row r="185" spans="4:13" x14ac:dyDescent="0.3">
      <c r="D185" t="s">
        <v>27</v>
      </c>
      <c r="E185">
        <v>2018</v>
      </c>
      <c r="F185" t="s">
        <v>31</v>
      </c>
      <c r="G185">
        <f>SUM('All_India_Index_Upto_April23 (1'!$E185:$Q185)</f>
        <v>1781.5</v>
      </c>
      <c r="H185">
        <f>SUM('All_India_Index_Upto_April23 (1'!R185)</f>
        <v>153.30000000000001</v>
      </c>
      <c r="I185">
        <f>SUM('All_India_Index_Upto_April23 (1'!$S185:$U185)</f>
        <v>438.90000000000003</v>
      </c>
      <c r="J185">
        <f>SUM('All_India_Index_Upto_April23 (1'!$V185:$X185)</f>
        <v>423.6</v>
      </c>
      <c r="K185">
        <f>SUM('All_India_Index_Upto_April23 (1'!$Y185:$AA185)</f>
        <v>406.5</v>
      </c>
      <c r="L185">
        <f>SUM('All_India_Index_Upto_April23 (1'!$AB185:$AD185)</f>
        <v>390.1</v>
      </c>
      <c r="M185">
        <v>138.5</v>
      </c>
    </row>
    <row r="186" spans="4:13" x14ac:dyDescent="0.3">
      <c r="D186" t="s">
        <v>30</v>
      </c>
      <c r="E186">
        <v>2018</v>
      </c>
      <c r="F186" t="s">
        <v>31</v>
      </c>
      <c r="G186">
        <f>SUM('All_India_Index_Upto_April23 (1'!$E186:$Q186)</f>
        <v>1760.3999999999996</v>
      </c>
      <c r="H186">
        <f>SUM('All_India_Index_Upto_April23 (1'!R186)</f>
        <v>154.9</v>
      </c>
      <c r="I186">
        <f>SUM('All_India_Index_Upto_April23 (1'!$S186:$U186)</f>
        <v>422</v>
      </c>
      <c r="J186">
        <f>SUM('All_India_Index_Upto_April23 (1'!$V186:$X186)</f>
        <v>413.2</v>
      </c>
      <c r="K186">
        <f>SUM('All_India_Index_Upto_April23 (1'!$Y186:$AA186)</f>
        <v>400.5</v>
      </c>
      <c r="L186">
        <f>SUM('All_India_Index_Upto_April23 (1'!$AB186:$AD186)</f>
        <v>379.70000000000005</v>
      </c>
      <c r="M186">
        <v>136.4</v>
      </c>
    </row>
    <row r="187" spans="4:13" x14ac:dyDescent="0.3">
      <c r="D187" t="s">
        <v>29</v>
      </c>
      <c r="E187">
        <v>2018</v>
      </c>
      <c r="F187" t="s">
        <v>31</v>
      </c>
      <c r="G187">
        <f>SUM('All_India_Index_Upto_April23 (1'!$E187:$Q187)</f>
        <v>1727.9</v>
      </c>
      <c r="H187">
        <f>SUM('All_India_Index_Upto_April23 (1'!R187)</f>
        <v>159.30000000000001</v>
      </c>
      <c r="I187">
        <f>SUM('All_India_Index_Upto_April23 (1'!$S187:$U187)</f>
        <v>397.09999999999997</v>
      </c>
      <c r="J187">
        <f>SUM('All_India_Index_Upto_April23 (1'!$V187:$X187)</f>
        <v>398.5</v>
      </c>
      <c r="K187">
        <f>SUM('All_India_Index_Upto_April23 (1'!$Y187:$AA187)</f>
        <v>393.2</v>
      </c>
      <c r="L187">
        <f>SUM('All_India_Index_Upto_April23 (1'!$AB187:$AD187)</f>
        <v>370.4</v>
      </c>
      <c r="M187">
        <v>134</v>
      </c>
    </row>
    <row r="188" spans="4:13" x14ac:dyDescent="0.3">
      <c r="D188" t="s">
        <v>27</v>
      </c>
      <c r="E188">
        <v>2018</v>
      </c>
      <c r="F188" t="s">
        <v>32</v>
      </c>
      <c r="G188">
        <f>SUM('All_India_Index_Upto_April23 (1'!$E188:$Q188)</f>
        <v>1781.9999999999998</v>
      </c>
      <c r="H188">
        <f>SUM('All_India_Index_Upto_April23 (1'!R188)</f>
        <v>155.1</v>
      </c>
      <c r="I188">
        <f>SUM('All_India_Index_Upto_April23 (1'!$S188:$U188)</f>
        <v>440.5</v>
      </c>
      <c r="J188">
        <f>SUM('All_India_Index_Upto_April23 (1'!$V188:$X188)</f>
        <v>424.5</v>
      </c>
      <c r="K188">
        <f>SUM('All_India_Index_Upto_April23 (1'!$Y188:$AA188)</f>
        <v>408.7</v>
      </c>
      <c r="L188">
        <f>SUM('All_India_Index_Upto_April23 (1'!$AB188:$AD188)</f>
        <v>393</v>
      </c>
      <c r="M188">
        <v>138.69999999999999</v>
      </c>
    </row>
    <row r="189" spans="4:13" x14ac:dyDescent="0.3">
      <c r="D189" t="s">
        <v>30</v>
      </c>
      <c r="E189">
        <v>2018</v>
      </c>
      <c r="F189" t="s">
        <v>32</v>
      </c>
      <c r="G189">
        <f>SUM('All_India_Index_Upto_April23 (1'!$E189:$Q189)</f>
        <v>1756</v>
      </c>
      <c r="H189">
        <f>SUM('All_India_Index_Upto_April23 (1'!R189)</f>
        <v>156.30000000000001</v>
      </c>
      <c r="I189">
        <f>SUM('All_India_Index_Upto_April23 (1'!$S189:$U189)</f>
        <v>423.6</v>
      </c>
      <c r="J189">
        <f>SUM('All_India_Index_Upto_April23 (1'!$V189:$X189)</f>
        <v>414.1</v>
      </c>
      <c r="K189">
        <f>SUM('All_India_Index_Upto_April23 (1'!$Y189:$AA189)</f>
        <v>402.3</v>
      </c>
      <c r="L189">
        <f>SUM('All_India_Index_Upto_April23 (1'!$AB189:$AD189)</f>
        <v>381.70000000000005</v>
      </c>
      <c r="M189">
        <v>136.5</v>
      </c>
    </row>
    <row r="190" spans="4:13" x14ac:dyDescent="0.3">
      <c r="D190" t="s">
        <v>29</v>
      </c>
      <c r="E190">
        <v>2018</v>
      </c>
      <c r="F190" t="s">
        <v>32</v>
      </c>
      <c r="G190">
        <f>SUM('All_India_Index_Upto_April23 (1'!$E190:$Q190)</f>
        <v>1715.5</v>
      </c>
      <c r="H190">
        <f>SUM('All_India_Index_Upto_April23 (1'!R190)</f>
        <v>159.69999999999999</v>
      </c>
      <c r="I190">
        <f>SUM('All_India_Index_Upto_April23 (1'!$S190:$U190)</f>
        <v>398.59999999999997</v>
      </c>
      <c r="J190">
        <f>SUM('All_India_Index_Upto_April23 (1'!$V190:$X190)</f>
        <v>399.2</v>
      </c>
      <c r="K190">
        <f>SUM('All_India_Index_Upto_April23 (1'!$Y190:$AA190)</f>
        <v>395</v>
      </c>
      <c r="L190">
        <f>SUM('All_India_Index_Upto_April23 (1'!$AB190:$AD190)</f>
        <v>371.7</v>
      </c>
      <c r="M190">
        <v>134</v>
      </c>
    </row>
    <row r="191" spans="4:13" x14ac:dyDescent="0.3">
      <c r="D191" t="s">
        <v>27</v>
      </c>
      <c r="E191">
        <v>2018</v>
      </c>
      <c r="F191" t="s">
        <v>33</v>
      </c>
      <c r="G191">
        <f>SUM('All_India_Index_Upto_April23 (1'!$E191:$Q191)</f>
        <v>1780</v>
      </c>
      <c r="H191">
        <f>SUM('All_India_Index_Upto_April23 (1'!R191)</f>
        <v>156.1</v>
      </c>
      <c r="I191">
        <f>SUM('All_India_Index_Upto_April23 (1'!$S191:$U191)</f>
        <v>442.5</v>
      </c>
      <c r="J191">
        <f>SUM('All_India_Index_Upto_April23 (1'!$V191:$X191)</f>
        <v>427.6</v>
      </c>
      <c r="K191">
        <f>SUM('All_India_Index_Upto_April23 (1'!$Y191:$AA191)</f>
        <v>411.7</v>
      </c>
      <c r="L191">
        <f>SUM('All_India_Index_Upto_April23 (1'!$AB191:$AD191)</f>
        <v>395.5</v>
      </c>
      <c r="M191">
        <v>139.1</v>
      </c>
    </row>
    <row r="192" spans="4:13" x14ac:dyDescent="0.3">
      <c r="D192" t="s">
        <v>30</v>
      </c>
      <c r="E192">
        <v>2018</v>
      </c>
      <c r="F192" t="s">
        <v>33</v>
      </c>
      <c r="G192">
        <f>SUM('All_India_Index_Upto_April23 (1'!$E192:$Q192)</f>
        <v>1757.1000000000001</v>
      </c>
      <c r="H192">
        <f>SUM('All_India_Index_Upto_April23 (1'!R192)</f>
        <v>156.9</v>
      </c>
      <c r="I192">
        <f>SUM('All_India_Index_Upto_April23 (1'!$S192:$U192)</f>
        <v>426</v>
      </c>
      <c r="J192">
        <f>SUM('All_India_Index_Upto_April23 (1'!$V192:$X192)</f>
        <v>416</v>
      </c>
      <c r="K192">
        <f>SUM('All_India_Index_Upto_April23 (1'!$Y192:$AA192)</f>
        <v>405.79999999999995</v>
      </c>
      <c r="L192">
        <f>SUM('All_India_Index_Upto_April23 (1'!$AB192:$AD192)</f>
        <v>384.5</v>
      </c>
      <c r="M192">
        <v>137.1</v>
      </c>
    </row>
    <row r="193" spans="4:13" x14ac:dyDescent="0.3">
      <c r="D193" t="s">
        <v>29</v>
      </c>
      <c r="E193">
        <v>2018</v>
      </c>
      <c r="F193" t="s">
        <v>33</v>
      </c>
      <c r="G193">
        <f>SUM('All_India_Index_Upto_April23 (1'!$E193:$Q193)</f>
        <v>1720.0000000000002</v>
      </c>
      <c r="H193">
        <f>SUM('All_India_Index_Upto_April23 (1'!R193)</f>
        <v>159.19999999999999</v>
      </c>
      <c r="I193">
        <f>SUM('All_India_Index_Upto_April23 (1'!$S193:$U193)</f>
        <v>401.40000000000003</v>
      </c>
      <c r="J193">
        <f>SUM('All_India_Index_Upto_April23 (1'!$V193:$X193)</f>
        <v>399.3</v>
      </c>
      <c r="K193">
        <f>SUM('All_India_Index_Upto_April23 (1'!$Y193:$AA193)</f>
        <v>398.59999999999997</v>
      </c>
      <c r="L193">
        <f>SUM('All_India_Index_Upto_April23 (1'!$AB193:$AD193)</f>
        <v>374.7</v>
      </c>
      <c r="M193">
        <v>134.80000000000001</v>
      </c>
    </row>
    <row r="194" spans="4:13" x14ac:dyDescent="0.3">
      <c r="D194" t="s">
        <v>27</v>
      </c>
      <c r="E194">
        <v>2018</v>
      </c>
      <c r="F194" t="s">
        <v>34</v>
      </c>
      <c r="G194">
        <f>SUM('All_India_Index_Upto_April23 (1'!$E194:$Q194)</f>
        <v>1782.4</v>
      </c>
      <c r="H194">
        <f>SUM('All_India_Index_Upto_April23 (1'!R194)</f>
        <v>157</v>
      </c>
      <c r="I194">
        <f>SUM('All_India_Index_Upto_April23 (1'!$S194:$U194)</f>
        <v>444.7</v>
      </c>
      <c r="J194">
        <f>SUM('All_India_Index_Upto_April23 (1'!$V194:$X194)</f>
        <v>429.3</v>
      </c>
      <c r="K194">
        <f>SUM('All_India_Index_Upto_April23 (1'!$Y194:$AA194)</f>
        <v>414</v>
      </c>
      <c r="L194">
        <f>SUM('All_India_Index_Upto_April23 (1'!$AB194:$AD194)</f>
        <v>398.30000000000007</v>
      </c>
      <c r="M194">
        <v>139.80000000000001</v>
      </c>
    </row>
    <row r="195" spans="4:13" x14ac:dyDescent="0.3">
      <c r="D195" t="s">
        <v>30</v>
      </c>
      <c r="E195">
        <v>2018</v>
      </c>
      <c r="F195" t="s">
        <v>34</v>
      </c>
      <c r="G195">
        <f>SUM('All_India_Index_Upto_April23 (1'!$E195:$Q195)</f>
        <v>1759.8</v>
      </c>
      <c r="H195">
        <f>SUM('All_India_Index_Upto_April23 (1'!R195)</f>
        <v>157.9</v>
      </c>
      <c r="I195">
        <f>SUM('All_India_Index_Upto_April23 (1'!$S195:$U195)</f>
        <v>428.09999999999997</v>
      </c>
      <c r="J195">
        <f>SUM('All_India_Index_Upto_April23 (1'!$V195:$X195)</f>
        <v>417.5</v>
      </c>
      <c r="K195">
        <f>SUM('All_India_Index_Upto_April23 (1'!$Y195:$AA195)</f>
        <v>408</v>
      </c>
      <c r="L195">
        <f>SUM('All_India_Index_Upto_April23 (1'!$AB195:$AD195)</f>
        <v>386.8</v>
      </c>
      <c r="M195">
        <v>137.80000000000001</v>
      </c>
    </row>
    <row r="196" spans="4:13" x14ac:dyDescent="0.3">
      <c r="D196" t="s">
        <v>29</v>
      </c>
      <c r="E196">
        <v>2018</v>
      </c>
      <c r="F196" t="s">
        <v>34</v>
      </c>
      <c r="G196">
        <f>SUM('All_India_Index_Upto_April23 (1'!$E196:$Q196)</f>
        <v>1722.8999999999999</v>
      </c>
      <c r="H196">
        <f>SUM('All_India_Index_Upto_April23 (1'!R196)</f>
        <v>160.30000000000001</v>
      </c>
      <c r="I196">
        <f>SUM('All_India_Index_Upto_April23 (1'!$S196:$U196)</f>
        <v>403.5</v>
      </c>
      <c r="J196">
        <f>SUM('All_India_Index_Upto_April23 (1'!$V196:$X196)</f>
        <v>400.4</v>
      </c>
      <c r="K196">
        <f>SUM('All_India_Index_Upto_April23 (1'!$Y196:$AA196)</f>
        <v>400.5</v>
      </c>
      <c r="L196">
        <f>SUM('All_India_Index_Upto_April23 (1'!$AB196:$AD196)</f>
        <v>376.70000000000005</v>
      </c>
      <c r="M196">
        <v>135.4</v>
      </c>
    </row>
    <row r="197" spans="4:13" x14ac:dyDescent="0.3">
      <c r="D197" t="s">
        <v>27</v>
      </c>
      <c r="E197">
        <v>2018</v>
      </c>
      <c r="F197" t="s">
        <v>35</v>
      </c>
      <c r="G197">
        <f>SUM('All_India_Index_Upto_April23 (1'!$E197:$Q197)</f>
        <v>1790.2999999999997</v>
      </c>
      <c r="H197">
        <f>SUM('All_India_Index_Upto_April23 (1'!R197)</f>
        <v>157.30000000000001</v>
      </c>
      <c r="I197">
        <f>SUM('All_India_Index_Upto_April23 (1'!$S197:$U197)</f>
        <v>446.3</v>
      </c>
      <c r="J197">
        <f>SUM('All_India_Index_Upto_April23 (1'!$V197:$X197)</f>
        <v>429.8</v>
      </c>
      <c r="K197">
        <f>SUM('All_India_Index_Upto_April23 (1'!$Y197:$AA197)</f>
        <v>414.9</v>
      </c>
      <c r="L197">
        <f>SUM('All_India_Index_Upto_April23 (1'!$AB197:$AD197)</f>
        <v>400.80000000000007</v>
      </c>
      <c r="M197">
        <v>140.5</v>
      </c>
    </row>
    <row r="198" spans="4:13" x14ac:dyDescent="0.3">
      <c r="D198" t="s">
        <v>30</v>
      </c>
      <c r="E198">
        <v>2018</v>
      </c>
      <c r="F198" t="s">
        <v>35</v>
      </c>
      <c r="G198">
        <f>SUM('All_India_Index_Upto_April23 (1'!$E198:$Q198)</f>
        <v>1774.1000000000001</v>
      </c>
      <c r="H198">
        <f>SUM('All_India_Index_Upto_April23 (1'!R198)</f>
        <v>158.30000000000001</v>
      </c>
      <c r="I198">
        <f>SUM('All_India_Index_Upto_April23 (1'!$S198:$U198)</f>
        <v>429.7</v>
      </c>
      <c r="J198">
        <f>SUM('All_India_Index_Upto_April23 (1'!$V198:$X198)</f>
        <v>418.5</v>
      </c>
      <c r="K198">
        <f>SUM('All_India_Index_Upto_April23 (1'!$Y198:$AA198)</f>
        <v>409.09999999999997</v>
      </c>
      <c r="L198">
        <f>SUM('All_India_Index_Upto_April23 (1'!$AB198:$AD198)</f>
        <v>388.9</v>
      </c>
      <c r="M198">
        <v>138.5</v>
      </c>
    </row>
    <row r="199" spans="4:13" x14ac:dyDescent="0.3">
      <c r="D199" t="s">
        <v>29</v>
      </c>
      <c r="E199">
        <v>2018</v>
      </c>
      <c r="F199" t="s">
        <v>35</v>
      </c>
      <c r="G199">
        <f>SUM('All_India_Index_Upto_April23 (1'!$E199:$Q199)</f>
        <v>1747.3000000000002</v>
      </c>
      <c r="H199">
        <f>SUM('All_India_Index_Upto_April23 (1'!R199)</f>
        <v>161</v>
      </c>
      <c r="I199">
        <f>SUM('All_India_Index_Upto_April23 (1'!$S199:$U199)</f>
        <v>405</v>
      </c>
      <c r="J199">
        <f>SUM('All_India_Index_Upto_April23 (1'!$V199:$X199)</f>
        <v>402.1</v>
      </c>
      <c r="K199">
        <f>SUM('All_India_Index_Upto_April23 (1'!$Y199:$AA199)</f>
        <v>401.99999999999994</v>
      </c>
      <c r="L199">
        <f>SUM('All_India_Index_Upto_April23 (1'!$AB199:$AD199)</f>
        <v>378.4</v>
      </c>
      <c r="M199">
        <v>136.19999999999999</v>
      </c>
    </row>
    <row r="200" spans="4:13" x14ac:dyDescent="0.3">
      <c r="D200" t="s">
        <v>27</v>
      </c>
      <c r="E200">
        <v>2018</v>
      </c>
      <c r="F200" t="s">
        <v>36</v>
      </c>
      <c r="G200">
        <f>SUM('All_India_Index_Upto_April23 (1'!$E200:$Q200)</f>
        <v>1810.5000000000002</v>
      </c>
      <c r="H200">
        <f>SUM('All_India_Index_Upto_April23 (1'!R200)</f>
        <v>156.1</v>
      </c>
      <c r="I200">
        <f>SUM('All_India_Index_Upto_April23 (1'!$S200:$U200)</f>
        <v>447.20000000000005</v>
      </c>
      <c r="J200">
        <f>SUM('All_India_Index_Upto_April23 (1'!$V200:$X200)</f>
        <v>433.5</v>
      </c>
      <c r="K200">
        <f>SUM('All_India_Index_Upto_April23 (1'!$Y200:$AA200)</f>
        <v>416.2</v>
      </c>
      <c r="L200">
        <f>SUM('All_India_Index_Upto_April23 (1'!$AB200:$AD200)</f>
        <v>401.9</v>
      </c>
      <c r="M200">
        <v>141.80000000000001</v>
      </c>
    </row>
    <row r="201" spans="4:13" x14ac:dyDescent="0.3">
      <c r="D201" t="s">
        <v>30</v>
      </c>
      <c r="E201">
        <v>2018</v>
      </c>
      <c r="F201" t="s">
        <v>36</v>
      </c>
      <c r="G201">
        <f>SUM('All_India_Index_Upto_April23 (1'!$E201:$Q201)</f>
        <v>1795.3</v>
      </c>
      <c r="H201">
        <f>SUM('All_India_Index_Upto_April23 (1'!R201)</f>
        <v>157.5</v>
      </c>
      <c r="I201">
        <f>SUM('All_India_Index_Upto_April23 (1'!$S201:$U201)</f>
        <v>430.80000000000007</v>
      </c>
      <c r="J201">
        <f>SUM('All_India_Index_Upto_April23 (1'!$V201:$X201)</f>
        <v>421.9</v>
      </c>
      <c r="K201">
        <f>SUM('All_India_Index_Upto_April23 (1'!$Y201:$AA201)</f>
        <v>411.8</v>
      </c>
      <c r="L201">
        <f>SUM('All_India_Index_Upto_April23 (1'!$AB201:$AD201)</f>
        <v>389.9</v>
      </c>
      <c r="M201">
        <v>139.80000000000001</v>
      </c>
    </row>
    <row r="202" spans="4:13" x14ac:dyDescent="0.3">
      <c r="D202" t="s">
        <v>29</v>
      </c>
      <c r="E202">
        <v>2018</v>
      </c>
      <c r="F202" t="s">
        <v>36</v>
      </c>
      <c r="G202">
        <f>SUM('All_India_Index_Upto_April23 (1'!$E202:$Q202)</f>
        <v>1771.1</v>
      </c>
      <c r="H202">
        <f>SUM('All_India_Index_Upto_April23 (1'!R202)</f>
        <v>161.4</v>
      </c>
      <c r="I202">
        <f>SUM('All_India_Index_Upto_April23 (1'!$S202:$U202)</f>
        <v>406.4</v>
      </c>
      <c r="J202">
        <f>SUM('All_India_Index_Upto_April23 (1'!$V202:$X202)</f>
        <v>405.29999999999995</v>
      </c>
      <c r="K202">
        <f>SUM('All_India_Index_Upto_April23 (1'!$Y202:$AA202)</f>
        <v>405.79999999999995</v>
      </c>
      <c r="L202">
        <f>SUM('All_India_Index_Upto_April23 (1'!$AB202:$AD202)</f>
        <v>379.29999999999995</v>
      </c>
      <c r="M202">
        <v>137.5</v>
      </c>
    </row>
    <row r="203" spans="4:13" x14ac:dyDescent="0.3">
      <c r="D203" t="s">
        <v>27</v>
      </c>
      <c r="E203">
        <v>2018</v>
      </c>
      <c r="F203" t="s">
        <v>37</v>
      </c>
      <c r="G203">
        <f>SUM('All_India_Index_Upto_April23 (1'!$E203:$Q203)</f>
        <v>1818.8</v>
      </c>
      <c r="H203">
        <f>SUM('All_India_Index_Upto_April23 (1'!R203)</f>
        <v>156.4</v>
      </c>
      <c r="I203">
        <f>SUM('All_India_Index_Upto_April23 (1'!$S203:$U203)</f>
        <v>449.2</v>
      </c>
      <c r="J203">
        <f>SUM('All_India_Index_Upto_April23 (1'!$V203:$X203)</f>
        <v>436.09999999999997</v>
      </c>
      <c r="K203">
        <f>SUM('All_India_Index_Upto_April23 (1'!$Y203:$AA203)</f>
        <v>417.6</v>
      </c>
      <c r="L203">
        <f>SUM('All_India_Index_Upto_April23 (1'!$AB203:$AD203)</f>
        <v>403.5</v>
      </c>
      <c r="M203">
        <v>142.5</v>
      </c>
    </row>
    <row r="204" spans="4:13" x14ac:dyDescent="0.3">
      <c r="D204" t="s">
        <v>30</v>
      </c>
      <c r="E204">
        <v>2018</v>
      </c>
      <c r="F204" t="s">
        <v>37</v>
      </c>
      <c r="G204">
        <f>SUM('All_India_Index_Upto_April23 (1'!$E204:$Q204)</f>
        <v>1798.7000000000003</v>
      </c>
      <c r="H204">
        <f>SUM('All_India_Index_Upto_April23 (1'!R204)</f>
        <v>157.9</v>
      </c>
      <c r="I204">
        <f>SUM('All_India_Index_Upto_April23 (1'!$S204:$U204)</f>
        <v>432.20000000000005</v>
      </c>
      <c r="J204">
        <f>SUM('All_India_Index_Upto_April23 (1'!$V204:$X204)</f>
        <v>424.9</v>
      </c>
      <c r="K204">
        <f>SUM('All_India_Index_Upto_April23 (1'!$Y204:$AA204)</f>
        <v>413.79999999999995</v>
      </c>
      <c r="L204">
        <f>SUM('All_India_Index_Upto_April23 (1'!$AB204:$AD204)</f>
        <v>391.79999999999995</v>
      </c>
      <c r="M204">
        <v>140.4</v>
      </c>
    </row>
    <row r="205" spans="4:13" x14ac:dyDescent="0.3">
      <c r="D205" t="s">
        <v>29</v>
      </c>
      <c r="E205">
        <v>2018</v>
      </c>
      <c r="F205" t="s">
        <v>37</v>
      </c>
      <c r="G205">
        <f>SUM('All_India_Index_Upto_April23 (1'!$E205:$Q205)</f>
        <v>1767.6</v>
      </c>
      <c r="H205">
        <f>SUM('All_India_Index_Upto_April23 (1'!R205)</f>
        <v>162.1</v>
      </c>
      <c r="I205">
        <f>SUM('All_India_Index_Upto_April23 (1'!$S205:$U205)</f>
        <v>407.3</v>
      </c>
      <c r="J205">
        <f>SUM('All_India_Index_Upto_April23 (1'!$V205:$X205)</f>
        <v>408.79999999999995</v>
      </c>
      <c r="K205">
        <f>SUM('All_India_Index_Upto_April23 (1'!$Y205:$AA205)</f>
        <v>408.50000000000006</v>
      </c>
      <c r="L205">
        <f>SUM('All_India_Index_Upto_April23 (1'!$AB205:$AD205)</f>
        <v>381.5</v>
      </c>
      <c r="M205">
        <v>138</v>
      </c>
    </row>
    <row r="206" spans="4:13" x14ac:dyDescent="0.3">
      <c r="D206" t="s">
        <v>27</v>
      </c>
      <c r="E206">
        <v>2018</v>
      </c>
      <c r="F206" t="s">
        <v>38</v>
      </c>
      <c r="G206">
        <f>SUM('All_India_Index_Upto_April23 (1'!$E206:$Q206)</f>
        <v>1799.8000000000002</v>
      </c>
      <c r="H206">
        <f>SUM('All_India_Index_Upto_April23 (1'!R206)</f>
        <v>157.69999999999999</v>
      </c>
      <c r="I206">
        <f>SUM('All_India_Index_Upto_April23 (1'!$S206:$U206)</f>
        <v>449.5</v>
      </c>
      <c r="J206">
        <f>SUM('All_India_Index_Upto_April23 (1'!$V206:$X206)</f>
        <v>438.3</v>
      </c>
      <c r="K206">
        <f>SUM('All_India_Index_Upto_April23 (1'!$Y206:$AA206)</f>
        <v>419.6</v>
      </c>
      <c r="L206">
        <f>SUM('All_India_Index_Upto_April23 (1'!$AB206:$AD206)</f>
        <v>407.29999999999995</v>
      </c>
      <c r="M206">
        <v>142.1</v>
      </c>
    </row>
    <row r="207" spans="4:13" x14ac:dyDescent="0.3">
      <c r="D207" t="s">
        <v>30</v>
      </c>
      <c r="E207">
        <v>2018</v>
      </c>
      <c r="F207" t="s">
        <v>38</v>
      </c>
      <c r="G207">
        <f>SUM('All_India_Index_Upto_April23 (1'!$E207:$Q207)</f>
        <v>1779.5</v>
      </c>
      <c r="H207">
        <f>SUM('All_India_Index_Upto_April23 (1'!R207)</f>
        <v>159.19999999999999</v>
      </c>
      <c r="I207">
        <f>SUM('All_India_Index_Upto_April23 (1'!$S207:$U207)</f>
        <v>433.29999999999995</v>
      </c>
      <c r="J207">
        <f>SUM('All_India_Index_Upto_April23 (1'!$V207:$X207)</f>
        <v>427.3</v>
      </c>
      <c r="K207">
        <f>SUM('All_India_Index_Upto_April23 (1'!$Y207:$AA207)</f>
        <v>415.5</v>
      </c>
      <c r="L207">
        <f>SUM('All_India_Index_Upto_April23 (1'!$AB207:$AD207)</f>
        <v>395.2</v>
      </c>
      <c r="M207">
        <v>140.19999999999999</v>
      </c>
    </row>
    <row r="208" spans="4:13" x14ac:dyDescent="0.3">
      <c r="D208" t="s">
        <v>29</v>
      </c>
      <c r="E208">
        <v>2018</v>
      </c>
      <c r="F208" t="s">
        <v>38</v>
      </c>
      <c r="G208">
        <f>SUM('All_India_Index_Upto_April23 (1'!$E208:$Q208)</f>
        <v>1748.4</v>
      </c>
      <c r="H208">
        <f>SUM('All_India_Index_Upto_April23 (1'!R208)</f>
        <v>163.30000000000001</v>
      </c>
      <c r="I208">
        <f>SUM('All_India_Index_Upto_April23 (1'!$S208:$U208)</f>
        <v>409.20000000000005</v>
      </c>
      <c r="J208">
        <f>SUM('All_India_Index_Upto_April23 (1'!$V208:$X208)</f>
        <v>411.4</v>
      </c>
      <c r="K208">
        <f>SUM('All_India_Index_Upto_April23 (1'!$Y208:$AA208)</f>
        <v>410.2</v>
      </c>
      <c r="L208">
        <f>SUM('All_India_Index_Upto_April23 (1'!$AB208:$AD208)</f>
        <v>384.6</v>
      </c>
      <c r="M208">
        <v>138.1</v>
      </c>
    </row>
    <row r="209" spans="4:13" x14ac:dyDescent="0.3">
      <c r="D209" t="s">
        <v>27</v>
      </c>
      <c r="E209">
        <v>2018</v>
      </c>
      <c r="F209" t="s">
        <v>39</v>
      </c>
      <c r="G209">
        <f>SUM('All_India_Index_Upto_April23 (1'!$E209:$Q209)</f>
        <v>1782.2</v>
      </c>
      <c r="H209">
        <f>SUM('All_India_Index_Upto_April23 (1'!R209)</f>
        <v>159.6</v>
      </c>
      <c r="I209">
        <f>SUM('All_India_Index_Upto_April23 (1'!$S209:$U209)</f>
        <v>445</v>
      </c>
      <c r="J209">
        <f>SUM('All_India_Index_Upto_April23 (1'!$V209:$X209)</f>
        <v>443.5</v>
      </c>
      <c r="K209">
        <f>SUM('All_India_Index_Upto_April23 (1'!$Y209:$AA209)</f>
        <v>427.20000000000005</v>
      </c>
      <c r="L209">
        <f>SUM('All_India_Index_Upto_April23 (1'!$AB209:$AD209)</f>
        <v>410.7</v>
      </c>
      <c r="M209">
        <v>142.19999999999999</v>
      </c>
    </row>
    <row r="210" spans="4:13" x14ac:dyDescent="0.3">
      <c r="D210" t="s">
        <v>30</v>
      </c>
      <c r="E210">
        <v>2018</v>
      </c>
      <c r="F210" t="s">
        <v>39</v>
      </c>
      <c r="G210">
        <f>SUM('All_India_Index_Upto_April23 (1'!$E210:$Q210)</f>
        <v>1776.2</v>
      </c>
      <c r="H210">
        <f>SUM('All_India_Index_Upto_April23 (1'!R210)</f>
        <v>162.6</v>
      </c>
      <c r="I210">
        <f>SUM('All_India_Index_Upto_April23 (1'!$S210:$U210)</f>
        <v>434</v>
      </c>
      <c r="J210">
        <f>SUM('All_India_Index_Upto_April23 (1'!$V210:$X210)</f>
        <v>434.40000000000003</v>
      </c>
      <c r="K210">
        <f>SUM('All_India_Index_Upto_April23 (1'!$Y210:$AA210)</f>
        <v>421.90000000000003</v>
      </c>
      <c r="L210">
        <f>SUM('All_India_Index_Upto_April23 (1'!$AB210:$AD210)</f>
        <v>398.3</v>
      </c>
      <c r="M210">
        <v>140.80000000000001</v>
      </c>
    </row>
    <row r="211" spans="4:13" x14ac:dyDescent="0.3">
      <c r="D211" t="s">
        <v>29</v>
      </c>
      <c r="E211">
        <v>2018</v>
      </c>
      <c r="F211" t="s">
        <v>39</v>
      </c>
      <c r="G211">
        <f>SUM('All_India_Index_Upto_April23 (1'!$E211:$Q211)</f>
        <v>1754.1</v>
      </c>
      <c r="H211">
        <f>SUM('All_India_Index_Upto_April23 (1'!R211)</f>
        <v>164</v>
      </c>
      <c r="I211">
        <f>SUM('All_India_Index_Upto_April23 (1'!$S211:$U211)</f>
        <v>411</v>
      </c>
      <c r="J211">
        <f>SUM('All_India_Index_Upto_April23 (1'!$V211:$X211)</f>
        <v>414.80000000000007</v>
      </c>
      <c r="K211">
        <f>SUM('All_India_Index_Upto_April23 (1'!$Y211:$AA211)</f>
        <v>412.1</v>
      </c>
      <c r="L211">
        <f>SUM('All_India_Index_Upto_April23 (1'!$AB211:$AD211)</f>
        <v>386.5</v>
      </c>
      <c r="M211">
        <v>138.9</v>
      </c>
    </row>
    <row r="212" spans="4:13" x14ac:dyDescent="0.3">
      <c r="D212" t="s">
        <v>27</v>
      </c>
      <c r="E212">
        <v>2018</v>
      </c>
      <c r="F212" t="s">
        <v>41</v>
      </c>
      <c r="G212">
        <f>SUM('All_India_Index_Upto_April23 (1'!$E212:$Q212)</f>
        <v>1787.4999999999995</v>
      </c>
      <c r="H212">
        <f>SUM('All_India_Index_Upto_April23 (1'!R212)</f>
        <v>161.9</v>
      </c>
      <c r="I212">
        <f>SUM('All_India_Index_Upto_April23 (1'!$S212:$U212)</f>
        <v>448</v>
      </c>
      <c r="J212">
        <f>SUM('All_India_Index_Upto_April23 (1'!$V212:$X212)</f>
        <v>445.20000000000005</v>
      </c>
      <c r="K212">
        <f>SUM('All_India_Index_Upto_April23 (1'!$Y212:$AA212)</f>
        <v>428.7</v>
      </c>
      <c r="L212">
        <f>SUM('All_India_Index_Upto_April23 (1'!$AB212:$AD212)</f>
        <v>413.5</v>
      </c>
      <c r="M212">
        <v>142.4</v>
      </c>
    </row>
    <row r="213" spans="4:13" x14ac:dyDescent="0.3">
      <c r="D213" t="s">
        <v>30</v>
      </c>
      <c r="E213">
        <v>2018</v>
      </c>
      <c r="F213" t="s">
        <v>41</v>
      </c>
      <c r="G213">
        <f>SUM('All_India_Index_Upto_April23 (1'!$E213:$Q213)</f>
        <v>1775.7000000000003</v>
      </c>
      <c r="H213">
        <f>SUM('All_India_Index_Upto_April23 (1'!R213)</f>
        <v>162.6</v>
      </c>
      <c r="I213">
        <f>SUM('All_India_Index_Upto_April23 (1'!$S213:$U213)</f>
        <v>433.8</v>
      </c>
      <c r="J213">
        <f>SUM('All_India_Index_Upto_April23 (1'!$V213:$X213)</f>
        <v>434.2</v>
      </c>
      <c r="K213">
        <f>SUM('All_India_Index_Upto_April23 (1'!$Y213:$AA213)</f>
        <v>421.90000000000003</v>
      </c>
      <c r="L213">
        <f>SUM('All_India_Index_Upto_April23 (1'!$AB213:$AD213)</f>
        <v>398.3</v>
      </c>
      <c r="M213">
        <v>140.80000000000001</v>
      </c>
    </row>
    <row r="214" spans="4:13" x14ac:dyDescent="0.3">
      <c r="D214" t="s">
        <v>29</v>
      </c>
      <c r="E214">
        <v>2018</v>
      </c>
      <c r="F214" t="s">
        <v>41</v>
      </c>
      <c r="G214">
        <f>SUM('All_India_Index_Upto_April23 (1'!$E214:$Q214)</f>
        <v>1757.4999999999998</v>
      </c>
      <c r="H214">
        <f>SUM('All_India_Index_Upto_April23 (1'!R214)</f>
        <v>164.4</v>
      </c>
      <c r="I214">
        <f>SUM('All_India_Index_Upto_April23 (1'!$S214:$U214)</f>
        <v>413.1</v>
      </c>
      <c r="J214">
        <f>SUM('All_India_Index_Upto_April23 (1'!$V214:$X214)</f>
        <v>419.40000000000003</v>
      </c>
      <c r="K214">
        <f>SUM('All_India_Index_Upto_April23 (1'!$Y214:$AA214)</f>
        <v>413.4</v>
      </c>
      <c r="L214">
        <f>SUM('All_India_Index_Upto_April23 (1'!$AB214:$AD214)</f>
        <v>384.7</v>
      </c>
      <c r="M214">
        <v>139</v>
      </c>
    </row>
    <row r="215" spans="4:13" x14ac:dyDescent="0.3">
      <c r="D215" t="s">
        <v>27</v>
      </c>
      <c r="E215">
        <v>2018</v>
      </c>
      <c r="F215" t="s">
        <v>42</v>
      </c>
      <c r="G215">
        <f>SUM('All_India_Index_Upto_April23 (1'!$E215:$Q215)</f>
        <v>1773.1000000000001</v>
      </c>
      <c r="H215">
        <f>SUM('All_India_Index_Upto_April23 (1'!R215)</f>
        <v>162.4</v>
      </c>
      <c r="I215">
        <f>SUM('All_India_Index_Upto_April23 (1'!$S215:$U215)</f>
        <v>448.3</v>
      </c>
      <c r="J215">
        <f>SUM('All_India_Index_Upto_April23 (1'!$V215:$X215)</f>
        <v>445</v>
      </c>
      <c r="K215">
        <f>SUM('All_India_Index_Upto_April23 (1'!$Y215:$AA215)</f>
        <v>437.9</v>
      </c>
      <c r="L215">
        <f>SUM('All_India_Index_Upto_April23 (1'!$AB215:$AD215)</f>
        <v>413.80000000000007</v>
      </c>
      <c r="M215">
        <v>141.9</v>
      </c>
    </row>
    <row r="216" spans="4:13" x14ac:dyDescent="0.3">
      <c r="D216" t="s">
        <v>30</v>
      </c>
      <c r="E216">
        <v>2018</v>
      </c>
      <c r="F216" t="s">
        <v>42</v>
      </c>
      <c r="G216">
        <f>SUM('All_India_Index_Upto_April23 (1'!$E216:$Q216)</f>
        <v>1762.7999999999997</v>
      </c>
      <c r="H216">
        <f>SUM('All_India_Index_Upto_April23 (1'!R216)</f>
        <v>163</v>
      </c>
      <c r="I216">
        <f>SUM('All_India_Index_Upto_April23 (1'!$S216:$U216)</f>
        <v>434.3</v>
      </c>
      <c r="J216">
        <f>SUM('All_India_Index_Upto_April23 (1'!$V216:$X216)</f>
        <v>432.4</v>
      </c>
      <c r="K216">
        <f>SUM('All_India_Index_Upto_April23 (1'!$Y216:$AA216)</f>
        <v>427.20000000000005</v>
      </c>
      <c r="L216">
        <f>SUM('All_India_Index_Upto_April23 (1'!$AB216:$AD216)</f>
        <v>397.2</v>
      </c>
      <c r="M216">
        <v>140.1</v>
      </c>
    </row>
    <row r="217" spans="4:13" x14ac:dyDescent="0.3">
      <c r="D217" t="s">
        <v>29</v>
      </c>
      <c r="E217">
        <v>2018</v>
      </c>
      <c r="F217" t="s">
        <v>42</v>
      </c>
      <c r="G217">
        <f>SUM('All_India_Index_Upto_April23 (1'!$E217:$Q217)</f>
        <v>1746.6</v>
      </c>
      <c r="H217">
        <f>SUM('All_India_Index_Upto_April23 (1'!R217)</f>
        <v>164.6</v>
      </c>
      <c r="I217">
        <f>SUM('All_India_Index_Upto_April23 (1'!$S217:$U217)</f>
        <v>413.8</v>
      </c>
      <c r="J217">
        <f>SUM('All_India_Index_Upto_April23 (1'!$V217:$X217)</f>
        <v>415.09999999999997</v>
      </c>
      <c r="K217">
        <f>SUM('All_India_Index_Upto_April23 (1'!$Y217:$AA217)</f>
        <v>414.6</v>
      </c>
      <c r="L217">
        <f>SUM('All_India_Index_Upto_April23 (1'!$AB217:$AD217)</f>
        <v>382.2</v>
      </c>
      <c r="M217">
        <v>138</v>
      </c>
    </row>
    <row r="218" spans="4:13" x14ac:dyDescent="0.3">
      <c r="D218" t="s">
        <v>27</v>
      </c>
      <c r="E218">
        <v>2019</v>
      </c>
      <c r="F218" t="s">
        <v>28</v>
      </c>
      <c r="G218">
        <f>SUM('All_India_Index_Upto_April23 (1'!$E218:$Q218)</f>
        <v>1759.6000000000001</v>
      </c>
      <c r="H218">
        <f>SUM('All_India_Index_Upto_April23 (1'!R218)</f>
        <v>162.69999999999999</v>
      </c>
      <c r="I218">
        <f>SUM('All_India_Index_Upto_April23 (1'!$S218:$U218)</f>
        <v>445.6</v>
      </c>
      <c r="J218">
        <f>SUM('All_India_Index_Upto_April23 (1'!$V218:$X218)</f>
        <v>444</v>
      </c>
      <c r="K218">
        <f>SUM('All_India_Index_Upto_April23 (1'!$Y218:$AA218)</f>
        <v>438.3</v>
      </c>
      <c r="L218">
        <f>SUM('All_India_Index_Upto_April23 (1'!$AB218:$AD218)</f>
        <v>413.2</v>
      </c>
      <c r="M218">
        <v>141</v>
      </c>
    </row>
    <row r="219" spans="4:13" x14ac:dyDescent="0.3">
      <c r="D219" t="s">
        <v>30</v>
      </c>
      <c r="E219">
        <v>2019</v>
      </c>
      <c r="F219" t="s">
        <v>28</v>
      </c>
      <c r="G219">
        <f>SUM('All_India_Index_Upto_April23 (1'!$E219:$Q219)</f>
        <v>1753.3999999999999</v>
      </c>
      <c r="H219">
        <f>SUM('All_India_Index_Upto_April23 (1'!R219)</f>
        <v>163.19999999999999</v>
      </c>
      <c r="I219">
        <f>SUM('All_India_Index_Upto_April23 (1'!$S219:$U219)</f>
        <v>433</v>
      </c>
      <c r="J219">
        <f>SUM('All_India_Index_Upto_April23 (1'!$V219:$X219)</f>
        <v>430.79999999999995</v>
      </c>
      <c r="K219">
        <f>SUM('All_India_Index_Upto_April23 (1'!$Y219:$AA219)</f>
        <v>428.09999999999997</v>
      </c>
      <c r="L219">
        <f>SUM('All_India_Index_Upto_April23 (1'!$AB219:$AD219)</f>
        <v>396.9</v>
      </c>
      <c r="M219">
        <v>139.6</v>
      </c>
    </row>
    <row r="220" spans="4:13" x14ac:dyDescent="0.3">
      <c r="D220" t="s">
        <v>29</v>
      </c>
      <c r="E220">
        <v>2019</v>
      </c>
      <c r="F220" t="s">
        <v>28</v>
      </c>
      <c r="G220">
        <f>SUM('All_India_Index_Upto_April23 (1'!$E220:$Q220)</f>
        <v>1744.3000000000002</v>
      </c>
      <c r="H220">
        <f>SUM('All_India_Index_Upto_April23 (1'!R220)</f>
        <v>164.7</v>
      </c>
      <c r="I220">
        <f>SUM('All_India_Index_Upto_April23 (1'!$S220:$U220)</f>
        <v>414.5</v>
      </c>
      <c r="J220">
        <f>SUM('All_India_Index_Upto_April23 (1'!$V220:$X220)</f>
        <v>412.59999999999997</v>
      </c>
      <c r="K220">
        <f>SUM('All_India_Index_Upto_April23 (1'!$Y220:$AA220)</f>
        <v>416.1</v>
      </c>
      <c r="L220">
        <f>SUM('All_India_Index_Upto_April23 (1'!$AB220:$AD220)</f>
        <v>382.3</v>
      </c>
      <c r="M220">
        <v>138</v>
      </c>
    </row>
    <row r="221" spans="4:13" x14ac:dyDescent="0.3">
      <c r="D221" t="s">
        <v>27</v>
      </c>
      <c r="E221">
        <v>2019</v>
      </c>
      <c r="F221" t="s">
        <v>31</v>
      </c>
      <c r="G221">
        <f>SUM('All_India_Index_Upto_April23 (1'!$E221:$Q221)</f>
        <v>1759.8000000000002</v>
      </c>
      <c r="H221">
        <f>SUM('All_India_Index_Upto_April23 (1'!R221)</f>
        <v>162.80000000000001</v>
      </c>
      <c r="I221">
        <f>SUM('All_India_Index_Upto_April23 (1'!$S221:$U221)</f>
        <v>446.5</v>
      </c>
      <c r="J221">
        <f>SUM('All_India_Index_Upto_April23 (1'!$V221:$X221)</f>
        <v>443.9</v>
      </c>
      <c r="K221">
        <f>SUM('All_India_Index_Upto_April23 (1'!$Y221:$AA221)</f>
        <v>440.3</v>
      </c>
      <c r="L221">
        <f>SUM('All_India_Index_Upto_April23 (1'!$AB221:$AD221)</f>
        <v>414.8</v>
      </c>
      <c r="M221">
        <v>141</v>
      </c>
    </row>
    <row r="222" spans="4:13" x14ac:dyDescent="0.3">
      <c r="D222" t="s">
        <v>30</v>
      </c>
      <c r="E222">
        <v>2019</v>
      </c>
      <c r="F222" t="s">
        <v>31</v>
      </c>
      <c r="G222">
        <f>SUM('All_India_Index_Upto_April23 (1'!$E222:$Q222)</f>
        <v>1757.1</v>
      </c>
      <c r="H222">
        <f>SUM('All_India_Index_Upto_April23 (1'!R222)</f>
        <v>163.4</v>
      </c>
      <c r="I222">
        <f>SUM('All_India_Index_Upto_April23 (1'!$S222:$U222)</f>
        <v>433.9</v>
      </c>
      <c r="J222">
        <f>SUM('All_India_Index_Upto_April23 (1'!$V222:$X222)</f>
        <v>430.59999999999997</v>
      </c>
      <c r="K222">
        <f>SUM('All_India_Index_Upto_April23 (1'!$Y222:$AA222)</f>
        <v>430</v>
      </c>
      <c r="L222">
        <f>SUM('All_India_Index_Upto_April23 (1'!$AB222:$AD222)</f>
        <v>398.4</v>
      </c>
      <c r="M222">
        <v>139.9</v>
      </c>
    </row>
    <row r="223" spans="4:13" x14ac:dyDescent="0.3">
      <c r="D223" t="s">
        <v>29</v>
      </c>
      <c r="E223">
        <v>2019</v>
      </c>
      <c r="F223" t="s">
        <v>31</v>
      </c>
      <c r="G223">
        <f>SUM('All_India_Index_Upto_April23 (1'!$E223:$Q223)</f>
        <v>1754.4</v>
      </c>
      <c r="H223">
        <f>SUM('All_India_Index_Upto_April23 (1'!R223)</f>
        <v>164.9</v>
      </c>
      <c r="I223">
        <f>SUM('All_India_Index_Upto_April23 (1'!$S223:$U223)</f>
        <v>415.5</v>
      </c>
      <c r="J223">
        <f>SUM('All_India_Index_Upto_April23 (1'!$V223:$X223)</f>
        <v>412.20000000000005</v>
      </c>
      <c r="K223">
        <f>SUM('All_India_Index_Upto_April23 (1'!$Y223:$AA223)</f>
        <v>418.1</v>
      </c>
      <c r="L223">
        <f>SUM('All_India_Index_Upto_April23 (1'!$AB223:$AD223)</f>
        <v>383.79999999999995</v>
      </c>
      <c r="M223">
        <v>138.6</v>
      </c>
    </row>
    <row r="224" spans="4:13" x14ac:dyDescent="0.3">
      <c r="D224" t="s">
        <v>27</v>
      </c>
      <c r="E224">
        <v>2019</v>
      </c>
      <c r="F224" t="s">
        <v>32</v>
      </c>
      <c r="G224">
        <f>SUM('All_India_Index_Upto_April23 (1'!$E224:$Q224)</f>
        <v>1761.2000000000003</v>
      </c>
      <c r="H224">
        <f>SUM('All_India_Index_Upto_April23 (1'!R224)</f>
        <v>162.9</v>
      </c>
      <c r="I224">
        <f>SUM('All_India_Index_Upto_April23 (1'!$S224:$U224)</f>
        <v>447</v>
      </c>
      <c r="J224">
        <f>SUM('All_India_Index_Upto_April23 (1'!$V224:$X224)</f>
        <v>445.4</v>
      </c>
      <c r="K224">
        <f>SUM('All_India_Index_Upto_April23 (1'!$Y224:$AA224)</f>
        <v>439.9</v>
      </c>
      <c r="L224">
        <f>SUM('All_India_Index_Upto_April23 (1'!$AB224:$AD224)</f>
        <v>416.1</v>
      </c>
      <c r="M224">
        <v>141.19999999999999</v>
      </c>
    </row>
    <row r="225" spans="4:13" x14ac:dyDescent="0.3">
      <c r="D225" t="s">
        <v>30</v>
      </c>
      <c r="E225">
        <v>2019</v>
      </c>
      <c r="F225" t="s">
        <v>32</v>
      </c>
      <c r="G225">
        <f>SUM('All_India_Index_Upto_April23 (1'!$E225:$Q225)</f>
        <v>1762.9</v>
      </c>
      <c r="H225">
        <f>SUM('All_India_Index_Upto_April23 (1'!R225)</f>
        <v>163.5</v>
      </c>
      <c r="I225">
        <f>SUM('All_India_Index_Upto_April23 (1'!$S225:$U225)</f>
        <v>434.5</v>
      </c>
      <c r="J225">
        <f>SUM('All_India_Index_Upto_April23 (1'!$V225:$X225)</f>
        <v>432.5</v>
      </c>
      <c r="K225">
        <f>SUM('All_India_Index_Upto_April23 (1'!$Y225:$AA225)</f>
        <v>429.90000000000003</v>
      </c>
      <c r="L225">
        <f>SUM('All_India_Index_Upto_April23 (1'!$AB225:$AD225)</f>
        <v>399.99999999999994</v>
      </c>
      <c r="M225">
        <v>140.4</v>
      </c>
    </row>
    <row r="226" spans="4:13" x14ac:dyDescent="0.3">
      <c r="D226" t="s">
        <v>29</v>
      </c>
      <c r="E226">
        <v>2019</v>
      </c>
      <c r="F226" t="s">
        <v>32</v>
      </c>
      <c r="G226">
        <f>SUM('All_India_Index_Upto_April23 (1'!$E226:$Q226)</f>
        <v>1768.4</v>
      </c>
      <c r="H226">
        <f>SUM('All_India_Index_Upto_April23 (1'!R226)</f>
        <v>165.3</v>
      </c>
      <c r="I226">
        <f>SUM('All_India_Index_Upto_April23 (1'!$S226:$U226)</f>
        <v>416.29999999999995</v>
      </c>
      <c r="J226">
        <f>SUM('All_India_Index_Upto_April23 (1'!$V226:$X226)</f>
        <v>414.6</v>
      </c>
      <c r="K226">
        <f>SUM('All_India_Index_Upto_April23 (1'!$Y226:$AA226)</f>
        <v>418.4</v>
      </c>
      <c r="L226">
        <f>SUM('All_India_Index_Upto_April23 (1'!$AB226:$AD226)</f>
        <v>385.70000000000005</v>
      </c>
      <c r="M226">
        <v>139.5</v>
      </c>
    </row>
    <row r="227" spans="4:13" x14ac:dyDescent="0.3">
      <c r="D227" t="s">
        <v>27</v>
      </c>
      <c r="E227">
        <v>2019</v>
      </c>
      <c r="F227" t="s">
        <v>34</v>
      </c>
      <c r="G227">
        <f>SUM('All_India_Index_Upto_April23 (1'!$E227:$Q227)</f>
        <v>1782.1000000000001</v>
      </c>
      <c r="H227">
        <f>SUM('All_India_Index_Upto_April23 (1'!R227)</f>
        <v>163.30000000000001</v>
      </c>
      <c r="I227">
        <f>SUM('All_India_Index_Upto_April23 (1'!$S227:$U227)</f>
        <v>448.59999999999997</v>
      </c>
      <c r="J227">
        <f>SUM('All_India_Index_Upto_April23 (1'!$V227:$X227)</f>
        <v>446.5</v>
      </c>
      <c r="K227">
        <f>SUM('All_India_Index_Upto_April23 (1'!$Y227:$AA227)</f>
        <v>441.90000000000003</v>
      </c>
      <c r="L227">
        <f>SUM('All_India_Index_Upto_April23 (1'!$AB227:$AD227)</f>
        <v>419</v>
      </c>
      <c r="M227">
        <v>142.4</v>
      </c>
    </row>
    <row r="228" spans="4:13" x14ac:dyDescent="0.3">
      <c r="D228" t="s">
        <v>30</v>
      </c>
      <c r="E228">
        <v>2019</v>
      </c>
      <c r="F228" t="s">
        <v>34</v>
      </c>
      <c r="G228">
        <f>SUM('All_India_Index_Upto_April23 (1'!$E228:$Q228)</f>
        <v>1791.9000000000003</v>
      </c>
      <c r="H228">
        <f>SUM('All_India_Index_Upto_April23 (1'!R228)</f>
        <v>164.1</v>
      </c>
      <c r="I228">
        <f>SUM('All_India_Index_Upto_April23 (1'!$S228:$U228)</f>
        <v>436.1</v>
      </c>
      <c r="J228">
        <f>SUM('All_India_Index_Upto_April23 (1'!$V228:$X228)</f>
        <v>434.09999999999997</v>
      </c>
      <c r="K228">
        <f>SUM('All_India_Index_Upto_April23 (1'!$Y228:$AA228)</f>
        <v>431.9</v>
      </c>
      <c r="L228">
        <f>SUM('All_India_Index_Upto_April23 (1'!$AB228:$AD228)</f>
        <v>402.3</v>
      </c>
      <c r="M228">
        <v>142</v>
      </c>
    </row>
    <row r="229" spans="4:13" x14ac:dyDescent="0.3">
      <c r="D229" t="s">
        <v>29</v>
      </c>
      <c r="E229">
        <v>2019</v>
      </c>
      <c r="F229" t="s">
        <v>34</v>
      </c>
      <c r="G229">
        <f>SUM('All_India_Index_Upto_April23 (1'!$E229:$Q229)</f>
        <v>1811.5000000000002</v>
      </c>
      <c r="H229">
        <f>SUM('All_India_Index_Upto_April23 (1'!R229)</f>
        <v>166.2</v>
      </c>
      <c r="I229">
        <f>SUM('All_India_Index_Upto_April23 (1'!$S229:$U229)</f>
        <v>417.9</v>
      </c>
      <c r="J229">
        <f>SUM('All_India_Index_Upto_April23 (1'!$V229:$X229)</f>
        <v>416.7</v>
      </c>
      <c r="K229">
        <f>SUM('All_India_Index_Upto_April23 (1'!$Y229:$AA229)</f>
        <v>420.4</v>
      </c>
      <c r="L229">
        <f>SUM('All_India_Index_Upto_April23 (1'!$AB229:$AD229)</f>
        <v>387.4</v>
      </c>
      <c r="M229">
        <v>141.5</v>
      </c>
    </row>
    <row r="230" spans="4:13" x14ac:dyDescent="0.3">
      <c r="D230" t="s">
        <v>27</v>
      </c>
      <c r="E230">
        <v>2019</v>
      </c>
      <c r="F230" t="s">
        <v>35</v>
      </c>
      <c r="G230">
        <f>SUM('All_India_Index_Upto_April23 (1'!$E230:$Q230)</f>
        <v>1804.1999999999998</v>
      </c>
      <c r="H230">
        <f>SUM('All_India_Index_Upto_April23 (1'!R230)</f>
        <v>164.2</v>
      </c>
      <c r="I230">
        <f>SUM('All_India_Index_Upto_April23 (1'!$S230:$U230)</f>
        <v>448.59999999999997</v>
      </c>
      <c r="J230">
        <f>SUM('All_India_Index_Upto_April23 (1'!$V230:$X230)</f>
        <v>446.80000000000007</v>
      </c>
      <c r="K230">
        <f>SUM('All_India_Index_Upto_April23 (1'!$Y230:$AA230)</f>
        <v>444.2</v>
      </c>
      <c r="L230">
        <f>SUM('All_India_Index_Upto_April23 (1'!$AB230:$AD230)</f>
        <v>419.90000000000003</v>
      </c>
      <c r="M230">
        <v>143.6</v>
      </c>
    </row>
    <row r="231" spans="4:13" x14ac:dyDescent="0.3">
      <c r="D231" t="s">
        <v>30</v>
      </c>
      <c r="E231">
        <v>2019</v>
      </c>
      <c r="F231" t="s">
        <v>35</v>
      </c>
      <c r="G231">
        <f>SUM('All_India_Index_Upto_April23 (1'!$E231:$Q231)</f>
        <v>1814.1000000000001</v>
      </c>
      <c r="H231">
        <f>SUM('All_India_Index_Upto_April23 (1'!R231)</f>
        <v>164.9</v>
      </c>
      <c r="I231">
        <f>SUM('All_India_Index_Upto_April23 (1'!$S231:$U231)</f>
        <v>436.4</v>
      </c>
      <c r="J231">
        <f>SUM('All_India_Index_Upto_April23 (1'!$V231:$X231)</f>
        <v>434.40000000000003</v>
      </c>
      <c r="K231">
        <f>SUM('All_India_Index_Upto_April23 (1'!$Y231:$AA231)</f>
        <v>434.20000000000005</v>
      </c>
      <c r="L231">
        <f>SUM('All_India_Index_Upto_April23 (1'!$AB231:$AD231)</f>
        <v>402.79999999999995</v>
      </c>
      <c r="M231">
        <v>142.9</v>
      </c>
    </row>
    <row r="232" spans="4:13" x14ac:dyDescent="0.3">
      <c r="D232" t="s">
        <v>29</v>
      </c>
      <c r="E232">
        <v>2019</v>
      </c>
      <c r="F232" t="s">
        <v>35</v>
      </c>
      <c r="G232">
        <f>SUM('All_India_Index_Upto_April23 (1'!$E232:$Q232)</f>
        <v>1833.2999999999997</v>
      </c>
      <c r="H232">
        <f>SUM('All_India_Index_Upto_April23 (1'!R232)</f>
        <v>166.7</v>
      </c>
      <c r="I232">
        <f>SUM('All_India_Index_Upto_April23 (1'!$S232:$U232)</f>
        <v>418.4</v>
      </c>
      <c r="J232">
        <f>SUM('All_India_Index_Upto_April23 (1'!$V232:$X232)</f>
        <v>417.29999999999995</v>
      </c>
      <c r="K232">
        <f>SUM('All_India_Index_Upto_April23 (1'!$Y232:$AA232)</f>
        <v>422.9</v>
      </c>
      <c r="L232">
        <f>SUM('All_India_Index_Upto_April23 (1'!$AB232:$AD232)</f>
        <v>387.5</v>
      </c>
      <c r="M232">
        <v>142.1</v>
      </c>
    </row>
    <row r="233" spans="4:13" x14ac:dyDescent="0.3">
      <c r="D233" t="s">
        <v>27</v>
      </c>
      <c r="E233">
        <v>2019</v>
      </c>
      <c r="F233" t="s">
        <v>36</v>
      </c>
      <c r="G233">
        <f>SUM('All_India_Index_Upto_April23 (1'!$E233:$Q233)</f>
        <v>1826.8999999999999</v>
      </c>
      <c r="H233">
        <f>SUM('All_India_Index_Upto_April23 (1'!R233)</f>
        <v>164.5</v>
      </c>
      <c r="I233">
        <f>SUM('All_India_Index_Upto_April23 (1'!$S233:$U233)</f>
        <v>449.1</v>
      </c>
      <c r="J233">
        <f>SUM('All_India_Index_Upto_April23 (1'!$V233:$X233)</f>
        <v>447.4</v>
      </c>
      <c r="K233">
        <f>SUM('All_India_Index_Upto_April23 (1'!$Y233:$AA233)</f>
        <v>447.4</v>
      </c>
      <c r="L233">
        <f>SUM('All_India_Index_Upto_April23 (1'!$AB233:$AD233)</f>
        <v>422.9</v>
      </c>
      <c r="M233">
        <v>144.9</v>
      </c>
    </row>
    <row r="234" spans="4:13" x14ac:dyDescent="0.3">
      <c r="D234" t="s">
        <v>30</v>
      </c>
      <c r="E234">
        <v>2019</v>
      </c>
      <c r="F234" t="s">
        <v>36</v>
      </c>
      <c r="G234">
        <f>SUM('All_India_Index_Upto_April23 (1'!$E234:$Q234)</f>
        <v>1837.5</v>
      </c>
      <c r="H234">
        <f>SUM('All_India_Index_Upto_April23 (1'!R234)</f>
        <v>165.2</v>
      </c>
      <c r="I234">
        <f>SUM('All_India_Index_Upto_April23 (1'!$S234:$U234)</f>
        <v>437</v>
      </c>
      <c r="J234">
        <f>SUM('All_India_Index_Upto_April23 (1'!$V234:$X234)</f>
        <v>434.09999999999997</v>
      </c>
      <c r="K234">
        <f>SUM('All_India_Index_Upto_April23 (1'!$Y234:$AA234)</f>
        <v>437.6</v>
      </c>
      <c r="L234">
        <f>SUM('All_India_Index_Upto_April23 (1'!$AB234:$AD234)</f>
        <v>405.6</v>
      </c>
      <c r="M234">
        <v>144.19999999999999</v>
      </c>
    </row>
    <row r="235" spans="4:13" x14ac:dyDescent="0.3">
      <c r="D235" t="s">
        <v>29</v>
      </c>
      <c r="E235">
        <v>2019</v>
      </c>
      <c r="F235" t="s">
        <v>36</v>
      </c>
      <c r="G235">
        <f>SUM('All_India_Index_Upto_April23 (1'!$E235:$Q235)</f>
        <v>1857.3999999999999</v>
      </c>
      <c r="H235">
        <f>SUM('All_India_Index_Upto_April23 (1'!R235)</f>
        <v>167.2</v>
      </c>
      <c r="I235">
        <f>SUM('All_India_Index_Upto_April23 (1'!$S235:$U235)</f>
        <v>419.3</v>
      </c>
      <c r="J235">
        <f>SUM('All_India_Index_Upto_April23 (1'!$V235:$X235)</f>
        <v>415.3</v>
      </c>
      <c r="K235">
        <f>SUM('All_India_Index_Upto_April23 (1'!$Y235:$AA235)</f>
        <v>426.29999999999995</v>
      </c>
      <c r="L235">
        <f>SUM('All_India_Index_Upto_April23 (1'!$AB235:$AD235)</f>
        <v>390.1</v>
      </c>
      <c r="M235">
        <v>143.30000000000001</v>
      </c>
    </row>
    <row r="236" spans="4:13" x14ac:dyDescent="0.3">
      <c r="D236" t="s">
        <v>27</v>
      </c>
      <c r="E236">
        <v>2019</v>
      </c>
      <c r="F236" t="s">
        <v>37</v>
      </c>
      <c r="G236">
        <f>SUM('All_India_Index_Upto_April23 (1'!$E236:$Q236)</f>
        <v>1834.5000000000002</v>
      </c>
      <c r="H236">
        <f>SUM('All_India_Index_Upto_April23 (1'!R236)</f>
        <v>165.1</v>
      </c>
      <c r="I236">
        <f>SUM('All_India_Index_Upto_April23 (1'!$S236:$U236)</f>
        <v>449.5</v>
      </c>
      <c r="J236">
        <f>SUM('All_India_Index_Upto_April23 (1'!$V236:$X236)</f>
        <v>448.2</v>
      </c>
      <c r="K236">
        <f>SUM('All_India_Index_Upto_April23 (1'!$Y236:$AA236)</f>
        <v>451.2</v>
      </c>
      <c r="L236">
        <f>SUM('All_India_Index_Upto_April23 (1'!$AB236:$AD236)</f>
        <v>424.29999999999995</v>
      </c>
      <c r="M236">
        <v>145.69999999999999</v>
      </c>
    </row>
    <row r="237" spans="4:13" x14ac:dyDescent="0.3">
      <c r="D237" t="s">
        <v>30</v>
      </c>
      <c r="E237">
        <v>2019</v>
      </c>
      <c r="F237" t="s">
        <v>37</v>
      </c>
      <c r="G237">
        <f>SUM('All_India_Index_Upto_April23 (1'!$E237:$Q237)</f>
        <v>1846.5</v>
      </c>
      <c r="H237">
        <f>SUM('All_India_Index_Upto_April23 (1'!R237)</f>
        <v>165.8</v>
      </c>
      <c r="I237">
        <f>SUM('All_India_Index_Upto_April23 (1'!$S237:$U237)</f>
        <v>437.6</v>
      </c>
      <c r="J237">
        <f>SUM('All_India_Index_Upto_April23 (1'!$V237:$X237)</f>
        <v>434.6</v>
      </c>
      <c r="K237">
        <f>SUM('All_India_Index_Upto_April23 (1'!$Y237:$AA237)</f>
        <v>441.79999999999995</v>
      </c>
      <c r="L237">
        <f>SUM('All_India_Index_Upto_April23 (1'!$AB237:$AD237)</f>
        <v>406.9</v>
      </c>
      <c r="M237">
        <v>145</v>
      </c>
    </row>
    <row r="238" spans="4:13" x14ac:dyDescent="0.3">
      <c r="D238" t="s">
        <v>29</v>
      </c>
      <c r="E238">
        <v>2019</v>
      </c>
      <c r="F238" t="s">
        <v>37</v>
      </c>
      <c r="G238">
        <f>SUM('All_India_Index_Upto_April23 (1'!$E238:$Q238)</f>
        <v>1869.1</v>
      </c>
      <c r="H238">
        <f>SUM('All_India_Index_Upto_April23 (1'!R238)</f>
        <v>167.9</v>
      </c>
      <c r="I238">
        <f>SUM('All_India_Index_Upto_April23 (1'!$S238:$U238)</f>
        <v>420.2</v>
      </c>
      <c r="J238">
        <f>SUM('All_India_Index_Upto_April23 (1'!$V238:$X238)</f>
        <v>415.20000000000005</v>
      </c>
      <c r="K238">
        <f>SUM('All_India_Index_Upto_April23 (1'!$Y238:$AA238)</f>
        <v>430.8</v>
      </c>
      <c r="L238">
        <f>SUM('All_India_Index_Upto_April23 (1'!$AB238:$AD238)</f>
        <v>391.5</v>
      </c>
      <c r="M238">
        <v>144.19999999999999</v>
      </c>
    </row>
    <row r="239" spans="4:13" x14ac:dyDescent="0.3">
      <c r="D239" t="s">
        <v>27</v>
      </c>
      <c r="E239">
        <v>2019</v>
      </c>
      <c r="F239" t="s">
        <v>38</v>
      </c>
      <c r="G239">
        <f>SUM('All_India_Index_Upto_April23 (1'!$E239:$Q239)</f>
        <v>1848.7</v>
      </c>
      <c r="H239">
        <f>SUM('All_India_Index_Upto_April23 (1'!R239)</f>
        <v>165.7</v>
      </c>
      <c r="I239">
        <f>SUM('All_India_Index_Upto_April23 (1'!$S239:$U239)</f>
        <v>449.29999999999995</v>
      </c>
      <c r="J239">
        <f>SUM('All_India_Index_Upto_April23 (1'!$V239:$X239)</f>
        <v>449.40000000000003</v>
      </c>
      <c r="K239">
        <f>SUM('All_India_Index_Upto_April23 (1'!$Y239:$AA239)</f>
        <v>453.8</v>
      </c>
      <c r="L239">
        <f>SUM('All_India_Index_Upto_April23 (1'!$AB239:$AD239)</f>
        <v>425.29999999999995</v>
      </c>
      <c r="M239">
        <v>146.69999999999999</v>
      </c>
    </row>
    <row r="240" spans="4:13" x14ac:dyDescent="0.3">
      <c r="D240" t="s">
        <v>30</v>
      </c>
      <c r="E240">
        <v>2019</v>
      </c>
      <c r="F240" t="s">
        <v>38</v>
      </c>
      <c r="G240">
        <f>SUM('All_India_Index_Upto_April23 (1'!$E240:$Q240)</f>
        <v>1857.6999999999998</v>
      </c>
      <c r="H240">
        <f>SUM('All_India_Index_Upto_April23 (1'!R240)</f>
        <v>166.5</v>
      </c>
      <c r="I240">
        <f>SUM('All_India_Index_Upto_April23 (1'!$S240:$U240)</f>
        <v>437.69999999999993</v>
      </c>
      <c r="J240">
        <f>SUM('All_India_Index_Upto_April23 (1'!$V240:$X240)</f>
        <v>436</v>
      </c>
      <c r="K240">
        <f>SUM('All_India_Index_Upto_April23 (1'!$Y240:$AA240)</f>
        <v>443.9</v>
      </c>
      <c r="L240">
        <f>SUM('All_India_Index_Upto_April23 (1'!$AB240:$AD240)</f>
        <v>408.09999999999997</v>
      </c>
      <c r="M240">
        <v>145.80000000000001</v>
      </c>
    </row>
    <row r="241" spans="4:13" x14ac:dyDescent="0.3">
      <c r="D241" t="s">
        <v>29</v>
      </c>
      <c r="E241">
        <v>2019</v>
      </c>
      <c r="F241" t="s">
        <v>38</v>
      </c>
      <c r="G241">
        <f>SUM('All_India_Index_Upto_April23 (1'!$E241:$Q241)</f>
        <v>1874.9</v>
      </c>
      <c r="H241">
        <f>SUM('All_India_Index_Upto_April23 (1'!R241)</f>
        <v>168.6</v>
      </c>
      <c r="I241">
        <f>SUM('All_India_Index_Upto_April23 (1'!$S241:$U241)</f>
        <v>420.8</v>
      </c>
      <c r="J241">
        <f>SUM('All_India_Index_Upto_April23 (1'!$V241:$X241)</f>
        <v>417.09999999999997</v>
      </c>
      <c r="K241">
        <f>SUM('All_India_Index_Upto_April23 (1'!$Y241:$AA241)</f>
        <v>432.5</v>
      </c>
      <c r="L241">
        <f>SUM('All_India_Index_Upto_April23 (1'!$AB241:$AD241)</f>
        <v>392.8</v>
      </c>
      <c r="M241">
        <v>144.69999999999999</v>
      </c>
    </row>
    <row r="242" spans="4:13" x14ac:dyDescent="0.3">
      <c r="D242" t="s">
        <v>27</v>
      </c>
      <c r="E242">
        <v>2019</v>
      </c>
      <c r="F242" t="s">
        <v>39</v>
      </c>
      <c r="G242">
        <f>SUM('All_India_Index_Upto_April23 (1'!$E242:$Q242)</f>
        <v>1876.8999999999996</v>
      </c>
      <c r="H242">
        <f>SUM('All_India_Index_Upto_April23 (1'!R242)</f>
        <v>166.3</v>
      </c>
      <c r="I242">
        <f>SUM('All_India_Index_Upto_April23 (1'!$S242:$U242)</f>
        <v>449.4</v>
      </c>
      <c r="J242">
        <f>SUM('All_India_Index_Upto_April23 (1'!$V242:$X242)</f>
        <v>451.29999999999995</v>
      </c>
      <c r="K242">
        <f>SUM('All_India_Index_Upto_April23 (1'!$Y242:$AA242)</f>
        <v>454.7</v>
      </c>
      <c r="L242">
        <f>SUM('All_India_Index_Upto_April23 (1'!$AB242:$AD242)</f>
        <v>426.09999999999997</v>
      </c>
      <c r="M242">
        <v>148.30000000000001</v>
      </c>
    </row>
    <row r="243" spans="4:13" x14ac:dyDescent="0.3">
      <c r="D243" t="s">
        <v>30</v>
      </c>
      <c r="E243">
        <v>2019</v>
      </c>
      <c r="F243" t="s">
        <v>39</v>
      </c>
      <c r="G243">
        <f>SUM('All_India_Index_Upto_April23 (1'!$E243:$Q243)</f>
        <v>1885.5999999999997</v>
      </c>
      <c r="H243">
        <f>SUM('All_India_Index_Upto_April23 (1'!R243)</f>
        <v>167.1</v>
      </c>
      <c r="I243">
        <f>SUM('All_India_Index_Upto_April23 (1'!$S243:$U243)</f>
        <v>438.40000000000003</v>
      </c>
      <c r="J243">
        <f>SUM('All_India_Index_Upto_April23 (1'!$V243:$X243)</f>
        <v>438.6</v>
      </c>
      <c r="K243">
        <f>SUM('All_India_Index_Upto_April23 (1'!$Y243:$AA243)</f>
        <v>444.79999999999995</v>
      </c>
      <c r="L243">
        <f>SUM('All_India_Index_Upto_April23 (1'!$AB243:$AD243)</f>
        <v>409</v>
      </c>
      <c r="M243">
        <v>147.19999999999999</v>
      </c>
    </row>
    <row r="244" spans="4:13" x14ac:dyDescent="0.3">
      <c r="D244" t="s">
        <v>29</v>
      </c>
      <c r="E244">
        <v>2019</v>
      </c>
      <c r="F244" t="s">
        <v>39</v>
      </c>
      <c r="G244">
        <f>SUM('All_India_Index_Upto_April23 (1'!$E244:$Q244)</f>
        <v>1902.6000000000001</v>
      </c>
      <c r="H244">
        <f>SUM('All_India_Index_Upto_April23 (1'!R244)</f>
        <v>169.3</v>
      </c>
      <c r="I244">
        <f>SUM('All_India_Index_Upto_April23 (1'!$S244:$U244)</f>
        <v>422.20000000000005</v>
      </c>
      <c r="J244">
        <f>SUM('All_India_Index_Upto_April23 (1'!$V244:$X244)</f>
        <v>420.59999999999997</v>
      </c>
      <c r="K244">
        <f>SUM('All_India_Index_Upto_April23 (1'!$Y244:$AA244)</f>
        <v>433.59999999999997</v>
      </c>
      <c r="L244">
        <f>SUM('All_India_Index_Upto_April23 (1'!$AB244:$AD244)</f>
        <v>393.7</v>
      </c>
      <c r="M244">
        <v>146</v>
      </c>
    </row>
    <row r="245" spans="4:13" x14ac:dyDescent="0.3">
      <c r="D245" t="s">
        <v>27</v>
      </c>
      <c r="E245">
        <v>2019</v>
      </c>
      <c r="F245" t="s">
        <v>41</v>
      </c>
      <c r="G245">
        <f>SUM('All_India_Index_Upto_April23 (1'!$E245:$Q245)</f>
        <v>1904.6000000000001</v>
      </c>
      <c r="H245">
        <f>SUM('All_India_Index_Upto_April23 (1'!R245)</f>
        <v>167.2</v>
      </c>
      <c r="I245">
        <f>SUM('All_India_Index_Upto_April23 (1'!$S245:$U245)</f>
        <v>450.8</v>
      </c>
      <c r="J245">
        <f>SUM('All_India_Index_Upto_April23 (1'!$V245:$X245)</f>
        <v>452.79999999999995</v>
      </c>
      <c r="K245">
        <f>SUM('All_India_Index_Upto_April23 (1'!$Y245:$AA245)</f>
        <v>455.7</v>
      </c>
      <c r="L245">
        <f>SUM('All_India_Index_Upto_April23 (1'!$AB245:$AD245)</f>
        <v>427.29999999999995</v>
      </c>
      <c r="M245">
        <v>149.9</v>
      </c>
    </row>
    <row r="246" spans="4:13" x14ac:dyDescent="0.3">
      <c r="D246" t="s">
        <v>30</v>
      </c>
      <c r="E246">
        <v>2019</v>
      </c>
      <c r="F246" t="s">
        <v>41</v>
      </c>
      <c r="G246">
        <f>SUM('All_India_Index_Upto_April23 (1'!$E246:$Q246)</f>
        <v>1910.9</v>
      </c>
      <c r="H246">
        <f>SUM('All_India_Index_Upto_April23 (1'!R246)</f>
        <v>167.9</v>
      </c>
      <c r="I246">
        <f>SUM('All_India_Index_Upto_April23 (1'!$S246:$U246)</f>
        <v>439.5</v>
      </c>
      <c r="J246">
        <f>SUM('All_India_Index_Upto_April23 (1'!$V246:$X246)</f>
        <v>441.1</v>
      </c>
      <c r="K246">
        <f>SUM('All_India_Index_Upto_April23 (1'!$Y246:$AA246)</f>
        <v>445.70000000000005</v>
      </c>
      <c r="L246">
        <f>SUM('All_India_Index_Upto_April23 (1'!$AB246:$AD246)</f>
        <v>410</v>
      </c>
      <c r="M246">
        <v>148.6</v>
      </c>
    </row>
    <row r="247" spans="4:13" x14ac:dyDescent="0.3">
      <c r="D247" t="s">
        <v>29</v>
      </c>
      <c r="E247">
        <v>2019</v>
      </c>
      <c r="F247" t="s">
        <v>41</v>
      </c>
      <c r="G247">
        <f>SUM('All_India_Index_Upto_April23 (1'!$E247:$Q247)</f>
        <v>1923.9999999999998</v>
      </c>
      <c r="H247">
        <f>SUM('All_India_Index_Upto_April23 (1'!R247)</f>
        <v>169.9</v>
      </c>
      <c r="I247">
        <f>SUM('All_India_Index_Upto_April23 (1'!$S247:$U247)</f>
        <v>423.09999999999997</v>
      </c>
      <c r="J247">
        <f>SUM('All_India_Index_Upto_April23 (1'!$V247:$X247)</f>
        <v>424.79999999999995</v>
      </c>
      <c r="K247">
        <f>SUM('All_India_Index_Upto_April23 (1'!$Y247:$AA247)</f>
        <v>434.40000000000003</v>
      </c>
      <c r="L247">
        <f>SUM('All_India_Index_Upto_April23 (1'!$AB247:$AD247)</f>
        <v>394.7</v>
      </c>
      <c r="M247">
        <v>147</v>
      </c>
    </row>
    <row r="248" spans="4:13" x14ac:dyDescent="0.3">
      <c r="D248" t="s">
        <v>27</v>
      </c>
      <c r="E248">
        <v>2019</v>
      </c>
      <c r="F248" t="s">
        <v>42</v>
      </c>
      <c r="G248">
        <f>SUM('All_India_Index_Upto_April23 (1'!$E248:$Q248)</f>
        <v>1940.9999999999995</v>
      </c>
      <c r="H248">
        <f>SUM('All_India_Index_Upto_April23 (1'!R248)</f>
        <v>167.8</v>
      </c>
      <c r="I248">
        <f>SUM('All_India_Index_Upto_April23 (1'!$S248:$U248)</f>
        <v>451.79999999999995</v>
      </c>
      <c r="J248">
        <f>SUM('All_India_Index_Upto_April23 (1'!$V248:$X248)</f>
        <v>453.90000000000003</v>
      </c>
      <c r="K248">
        <f>SUM('All_India_Index_Upto_April23 (1'!$Y248:$AA248)</f>
        <v>456.5</v>
      </c>
      <c r="L248">
        <f>SUM('All_India_Index_Upto_April23 (1'!$AB248:$AD248)</f>
        <v>431.6</v>
      </c>
      <c r="M248">
        <v>152.30000000000001</v>
      </c>
    </row>
    <row r="249" spans="4:13" x14ac:dyDescent="0.3">
      <c r="D249" t="s">
        <v>30</v>
      </c>
      <c r="E249">
        <v>2019</v>
      </c>
      <c r="F249" t="s">
        <v>42</v>
      </c>
      <c r="G249">
        <f>SUM('All_India_Index_Upto_April23 (1'!$E249:$Q249)</f>
        <v>1946.1000000000001</v>
      </c>
      <c r="H249">
        <f>SUM('All_India_Index_Upto_April23 (1'!R249)</f>
        <v>168.5</v>
      </c>
      <c r="I249">
        <f>SUM('All_India_Index_Upto_April23 (1'!$S249:$U249)</f>
        <v>440.6</v>
      </c>
      <c r="J249">
        <f>SUM('All_India_Index_Upto_April23 (1'!$V249:$X249)</f>
        <v>442.3</v>
      </c>
      <c r="K249">
        <f>SUM('All_India_Index_Upto_April23 (1'!$Y249:$AA249)</f>
        <v>446.5</v>
      </c>
      <c r="L249">
        <f>SUM('All_India_Index_Upto_April23 (1'!$AB249:$AD249)</f>
        <v>414.6</v>
      </c>
      <c r="M249">
        <v>150.4</v>
      </c>
    </row>
    <row r="250" spans="4:13" x14ac:dyDescent="0.3">
      <c r="D250" t="s">
        <v>29</v>
      </c>
      <c r="E250">
        <v>2019</v>
      </c>
      <c r="F250" t="s">
        <v>42</v>
      </c>
      <c r="G250">
        <f>SUM('All_India_Index_Upto_April23 (1'!$E250:$Q250)</f>
        <v>1956.7</v>
      </c>
      <c r="H250">
        <f>SUM('All_India_Index_Upto_April23 (1'!R250)</f>
        <v>170.4</v>
      </c>
      <c r="I250">
        <f>SUM('All_India_Index_Upto_April23 (1'!$S250:$U250)</f>
        <v>424.20000000000005</v>
      </c>
      <c r="J250">
        <f>SUM('All_India_Index_Upto_April23 (1'!$V250:$X250)</f>
        <v>426.2</v>
      </c>
      <c r="K250">
        <f>SUM('All_India_Index_Upto_April23 (1'!$Y250:$AA250)</f>
        <v>435.29999999999995</v>
      </c>
      <c r="L250">
        <f>SUM('All_India_Index_Upto_April23 (1'!$AB250:$AD250)</f>
        <v>399.7</v>
      </c>
      <c r="M250">
        <v>148.30000000000001</v>
      </c>
    </row>
    <row r="251" spans="4:13" x14ac:dyDescent="0.3">
      <c r="D251" t="s">
        <v>27</v>
      </c>
      <c r="E251">
        <v>2020</v>
      </c>
      <c r="F251" t="s">
        <v>28</v>
      </c>
      <c r="G251">
        <f>SUM('All_India_Index_Upto_April23 (1'!$E251:$Q251)</f>
        <v>1938.6</v>
      </c>
      <c r="H251">
        <f>SUM('All_India_Index_Upto_April23 (1'!R251)</f>
        <v>168.6</v>
      </c>
      <c r="I251">
        <f>SUM('All_India_Index_Upto_April23 (1'!$S251:$U251)</f>
        <v>452.30000000000007</v>
      </c>
      <c r="J251">
        <f>SUM('All_India_Index_Upto_April23 (1'!$V251:$X251)</f>
        <v>456</v>
      </c>
      <c r="K251">
        <f>SUM('All_India_Index_Upto_April23 (1'!$Y251:$AA251)</f>
        <v>459.9</v>
      </c>
      <c r="L251">
        <f>SUM('All_India_Index_Upto_April23 (1'!$AB251:$AD251)</f>
        <v>434.5</v>
      </c>
      <c r="M251">
        <v>151.9</v>
      </c>
    </row>
    <row r="252" spans="4:13" x14ac:dyDescent="0.3">
      <c r="D252" t="s">
        <v>30</v>
      </c>
      <c r="E252">
        <v>2020</v>
      </c>
      <c r="F252" t="s">
        <v>28</v>
      </c>
      <c r="G252">
        <f>SUM('All_India_Index_Upto_April23 (1'!$E252:$Q252)</f>
        <v>1940.3999999999999</v>
      </c>
      <c r="H252">
        <f>SUM('All_India_Index_Upto_April23 (1'!R252)</f>
        <v>169.2</v>
      </c>
      <c r="I252">
        <f>SUM('All_India_Index_Upto_April23 (1'!$S252:$U252)</f>
        <v>441.2</v>
      </c>
      <c r="J252">
        <f>SUM('All_India_Index_Upto_April23 (1'!$V252:$X252)</f>
        <v>444.7</v>
      </c>
      <c r="K252">
        <f>SUM('All_India_Index_Upto_April23 (1'!$Y252:$AA252)</f>
        <v>449.6</v>
      </c>
      <c r="L252">
        <f>SUM('All_India_Index_Upto_April23 (1'!$AB252:$AD252)</f>
        <v>417.1</v>
      </c>
      <c r="M252">
        <v>150.19999999999999</v>
      </c>
    </row>
    <row r="253" spans="4:13" x14ac:dyDescent="0.3">
      <c r="D253" t="s">
        <v>29</v>
      </c>
      <c r="E253">
        <v>2020</v>
      </c>
      <c r="F253" t="s">
        <v>28</v>
      </c>
      <c r="G253">
        <f>SUM('All_India_Index_Upto_April23 (1'!$E253:$Q253)</f>
        <v>1945.3999999999999</v>
      </c>
      <c r="H253">
        <f>SUM('All_India_Index_Upto_April23 (1'!R253)</f>
        <v>170.8</v>
      </c>
      <c r="I253">
        <f>SUM('All_India_Index_Upto_April23 (1'!$S253:$U253)</f>
        <v>425.1</v>
      </c>
      <c r="J253">
        <f>SUM('All_India_Index_Upto_April23 (1'!$V253:$X253)</f>
        <v>429.1</v>
      </c>
      <c r="K253">
        <f>SUM('All_India_Index_Upto_April23 (1'!$Y253:$AA253)</f>
        <v>438</v>
      </c>
      <c r="L253">
        <f>SUM('All_India_Index_Upto_April23 (1'!$AB253:$AD253)</f>
        <v>401.69999999999993</v>
      </c>
      <c r="M253">
        <v>148.19999999999999</v>
      </c>
    </row>
    <row r="254" spans="4:13" x14ac:dyDescent="0.3">
      <c r="D254" t="s">
        <v>27</v>
      </c>
      <c r="E254">
        <v>2020</v>
      </c>
      <c r="F254" t="s">
        <v>31</v>
      </c>
      <c r="G254">
        <f>SUM('All_India_Index_Upto_April23 (1'!$E254:$Q254)</f>
        <v>1909.7999999999997</v>
      </c>
      <c r="H254">
        <f>SUM('All_India_Index_Upto_April23 (1'!R254)</f>
        <v>169.4</v>
      </c>
      <c r="I254">
        <f>SUM('All_India_Index_Upto_April23 (1'!$S254:$U254)</f>
        <v>452.8</v>
      </c>
      <c r="J254">
        <f>SUM('All_India_Index_Upto_April23 (1'!$V254:$X254)</f>
        <v>458.90000000000003</v>
      </c>
      <c r="K254">
        <f>SUM('All_India_Index_Upto_April23 (1'!$Y254:$AA254)</f>
        <v>461.5</v>
      </c>
      <c r="L254">
        <f>SUM('All_India_Index_Upto_April23 (1'!$AB254:$AD254)</f>
        <v>434.79999999999995</v>
      </c>
      <c r="M254">
        <v>150.4</v>
      </c>
    </row>
    <row r="255" spans="4:13" x14ac:dyDescent="0.3">
      <c r="D255" t="s">
        <v>30</v>
      </c>
      <c r="E255">
        <v>2020</v>
      </c>
      <c r="F255" t="s">
        <v>31</v>
      </c>
      <c r="G255">
        <f>SUM('All_India_Index_Upto_April23 (1'!$E255:$Q255)</f>
        <v>1911.6</v>
      </c>
      <c r="H255">
        <f>SUM('All_India_Index_Upto_April23 (1'!R255)</f>
        <v>170.1</v>
      </c>
      <c r="I255">
        <f>SUM('All_India_Index_Upto_April23 (1'!$S255:$U255)</f>
        <v>442</v>
      </c>
      <c r="J255">
        <f>SUM('All_India_Index_Upto_April23 (1'!$V255:$X255)</f>
        <v>448.4</v>
      </c>
      <c r="K255">
        <f>SUM('All_India_Index_Upto_April23 (1'!$Y255:$AA255)</f>
        <v>451.3</v>
      </c>
      <c r="L255">
        <f>SUM('All_India_Index_Upto_April23 (1'!$AB255:$AD255)</f>
        <v>417.1</v>
      </c>
      <c r="M255">
        <v>149.1</v>
      </c>
    </row>
    <row r="256" spans="4:13" x14ac:dyDescent="0.3">
      <c r="D256" t="s">
        <v>29</v>
      </c>
      <c r="E256">
        <v>2020</v>
      </c>
      <c r="F256" t="s">
        <v>31</v>
      </c>
      <c r="G256">
        <f>SUM('All_India_Index_Upto_April23 (1'!$E256:$Q256)</f>
        <v>1916.6</v>
      </c>
      <c r="H256">
        <f>SUM('All_India_Index_Upto_April23 (1'!R256)</f>
        <v>172</v>
      </c>
      <c r="I256">
        <f>SUM('All_India_Index_Upto_April23 (1'!$S256:$U256)</f>
        <v>426</v>
      </c>
      <c r="J256">
        <f>SUM('All_India_Index_Upto_April23 (1'!$V256:$X256)</f>
        <v>434.1</v>
      </c>
      <c r="K256">
        <f>SUM('All_India_Index_Upto_April23 (1'!$Y256:$AA256)</f>
        <v>440.09999999999997</v>
      </c>
      <c r="L256">
        <f>SUM('All_India_Index_Upto_April23 (1'!$AB256:$AD256)</f>
        <v>401.29999999999995</v>
      </c>
      <c r="M256">
        <v>147.69999999999999</v>
      </c>
    </row>
    <row r="257" spans="4:13" x14ac:dyDescent="0.3">
      <c r="D257" t="s">
        <v>27</v>
      </c>
      <c r="E257">
        <v>2020</v>
      </c>
      <c r="F257" t="s">
        <v>32</v>
      </c>
      <c r="G257">
        <f>SUM('All_India_Index_Upto_April23 (1'!$E257:$Q257)</f>
        <v>1894.5999999999997</v>
      </c>
      <c r="H257">
        <f>SUM('All_India_Index_Upto_April23 (1'!R257)</f>
        <v>170.5</v>
      </c>
      <c r="I257">
        <f>SUM('All_India_Index_Upto_April23 (1'!$S257:$U257)</f>
        <v>453.5</v>
      </c>
      <c r="J257">
        <f>SUM('All_India_Index_Upto_April23 (1'!$V257:$X257)</f>
        <v>459.4</v>
      </c>
      <c r="K257">
        <f>SUM('All_India_Index_Upto_April23 (1'!$Y257:$AA257)</f>
        <v>462.99999999999994</v>
      </c>
      <c r="L257">
        <f>SUM('All_India_Index_Upto_April23 (1'!$AB257:$AD257)</f>
        <v>435.6</v>
      </c>
      <c r="M257">
        <v>149.80000000000001</v>
      </c>
    </row>
    <row r="258" spans="4:13" x14ac:dyDescent="0.3">
      <c r="D258" t="s">
        <v>30</v>
      </c>
      <c r="E258">
        <v>2020</v>
      </c>
      <c r="F258" t="s">
        <v>32</v>
      </c>
      <c r="G258">
        <f>SUM('All_India_Index_Upto_April23 (1'!$E258:$Q258)</f>
        <v>1895.4</v>
      </c>
      <c r="H258">
        <f>SUM('All_India_Index_Upto_April23 (1'!R258)</f>
        <v>171.2</v>
      </c>
      <c r="I258">
        <f>SUM('All_India_Index_Upto_April23 (1'!$S258:$U258)</f>
        <v>442.90000000000003</v>
      </c>
      <c r="J258">
        <f>SUM('All_India_Index_Upto_April23 (1'!$V258:$X258)</f>
        <v>449.79999999999995</v>
      </c>
      <c r="K258">
        <f>SUM('All_India_Index_Upto_April23 (1'!$Y258:$AA258)</f>
        <v>453.6</v>
      </c>
      <c r="L258">
        <f>SUM('All_India_Index_Upto_April23 (1'!$AB258:$AD258)</f>
        <v>417.40000000000003</v>
      </c>
      <c r="M258">
        <v>148.6</v>
      </c>
    </row>
    <row r="259" spans="4:13" x14ac:dyDescent="0.3">
      <c r="D259" t="s">
        <v>29</v>
      </c>
      <c r="E259">
        <v>2020</v>
      </c>
      <c r="F259" t="s">
        <v>32</v>
      </c>
      <c r="G259">
        <f>SUM('All_India_Index_Upto_April23 (1'!$E259:$Q259)</f>
        <v>1898.5</v>
      </c>
      <c r="H259">
        <f>SUM('All_India_Index_Upto_April23 (1'!R259)</f>
        <v>173.3</v>
      </c>
      <c r="I259">
        <f>SUM('All_India_Index_Upto_April23 (1'!$S259:$U259)</f>
        <v>427.1</v>
      </c>
      <c r="J259">
        <f>SUM('All_India_Index_Upto_April23 (1'!$V259:$X259)</f>
        <v>436.7</v>
      </c>
      <c r="K259">
        <f>SUM('All_India_Index_Upto_April23 (1'!$Y259:$AA259)</f>
        <v>442.8</v>
      </c>
      <c r="L259">
        <f>SUM('All_India_Index_Upto_April23 (1'!$AB259:$AD259)</f>
        <v>401.2</v>
      </c>
      <c r="M259">
        <v>147.30000000000001</v>
      </c>
    </row>
    <row r="260" spans="4:13" x14ac:dyDescent="0.3">
      <c r="D260" t="s">
        <v>27</v>
      </c>
      <c r="E260">
        <v>2020</v>
      </c>
      <c r="F260" t="s">
        <v>33</v>
      </c>
      <c r="G260">
        <f>SUM('All_India_Index_Upto_April23 (1'!$E260:$Q260)</f>
        <v>1614.8000000000002</v>
      </c>
      <c r="H260">
        <f>SUM('All_India_Index_Upto_April23 (1'!R260)</f>
        <v>0</v>
      </c>
      <c r="I260">
        <f>SUM('All_India_Index_Upto_April23 (1'!$S260:$U260)</f>
        <v>0</v>
      </c>
      <c r="J260">
        <f>SUM('All_India_Index_Upto_April23 (1'!$V260:$X260)</f>
        <v>304</v>
      </c>
      <c r="K260">
        <f>SUM('All_India_Index_Upto_April23 (1'!$Y260:$AA260)</f>
        <v>154.30000000000001</v>
      </c>
      <c r="L260">
        <f>SUM('All_India_Index_Upto_April23 (1'!$AB260:$AD260)</f>
        <v>0</v>
      </c>
    </row>
    <row r="261" spans="4:13" x14ac:dyDescent="0.3">
      <c r="D261" t="s">
        <v>30</v>
      </c>
      <c r="E261">
        <v>2020</v>
      </c>
      <c r="F261" t="s">
        <v>33</v>
      </c>
      <c r="G261">
        <f>SUM('All_India_Index_Upto_April23 (1'!$E261:$Q261)</f>
        <v>1622.7</v>
      </c>
      <c r="H261">
        <f>SUM('All_India_Index_Upto_April23 (1'!R261)</f>
        <v>0</v>
      </c>
      <c r="I261">
        <f>SUM('All_India_Index_Upto_April23 (1'!$S261:$U261)</f>
        <v>0</v>
      </c>
      <c r="J261">
        <f>SUM('All_India_Index_Upto_April23 (1'!$V261:$X261)</f>
        <v>299.7</v>
      </c>
      <c r="K261">
        <f>SUM('All_India_Index_Upto_April23 (1'!$Y261:$AA261)</f>
        <v>150.69999999999999</v>
      </c>
      <c r="L261">
        <f>SUM('All_India_Index_Upto_April23 (1'!$AB261:$AD261)</f>
        <v>0</v>
      </c>
      <c r="M261" s="19">
        <f>AVERAGE(M258,M255,M252,M267,M270,M273)</f>
        <v>150.9</v>
      </c>
    </row>
    <row r="262" spans="4:13" x14ac:dyDescent="0.3">
      <c r="D262" t="s">
        <v>29</v>
      </c>
      <c r="E262">
        <v>2020</v>
      </c>
      <c r="F262" t="s">
        <v>33</v>
      </c>
      <c r="G262">
        <f>SUM('All_India_Index_Upto_April23 (1'!$E262:$Q262)</f>
        <v>1636.7</v>
      </c>
      <c r="H262">
        <f>SUM('All_India_Index_Upto_April23 (1'!R262)</f>
        <v>0</v>
      </c>
      <c r="I262">
        <f>SUM('All_India_Index_Upto_April23 (1'!$S262:$U262)</f>
        <v>0</v>
      </c>
      <c r="J262">
        <f>SUM('All_India_Index_Upto_April23 (1'!$V262:$X262)</f>
        <v>292.7</v>
      </c>
      <c r="K262">
        <f>SUM('All_India_Index_Upto_April23 (1'!$Y262:$AA262)</f>
        <v>144.80000000000001</v>
      </c>
      <c r="L262">
        <f>SUM('All_India_Index_Upto_April23 (1'!$AB262:$AD262)</f>
        <v>0</v>
      </c>
    </row>
    <row r="263" spans="4:13" x14ac:dyDescent="0.3">
      <c r="D263" t="s">
        <v>27</v>
      </c>
      <c r="E263">
        <v>2020</v>
      </c>
      <c r="F263" t="s">
        <v>34</v>
      </c>
      <c r="G263">
        <f>SUM('All_India_Index_Upto_April23 (1'!$E263:$Q263)</f>
        <v>0</v>
      </c>
      <c r="H263">
        <f>SUM('All_India_Index_Upto_April23 (1'!R263)</f>
        <v>0</v>
      </c>
      <c r="I263">
        <f>SUM('All_India_Index_Upto_April23 (1'!$S263:$U263)</f>
        <v>0</v>
      </c>
      <c r="J263">
        <f>SUM('All_India_Index_Upto_April23 (1'!$V263:$X263)</f>
        <v>0</v>
      </c>
      <c r="K263">
        <f>SUM('All_India_Index_Upto_April23 (1'!$Y263:$AA263)</f>
        <v>0</v>
      </c>
      <c r="L263">
        <f>SUM('All_India_Index_Upto_April23 (1'!$AB263:$AD263)</f>
        <v>0</v>
      </c>
    </row>
    <row r="264" spans="4:13" x14ac:dyDescent="0.3">
      <c r="D264" t="s">
        <v>30</v>
      </c>
      <c r="E264">
        <v>2020</v>
      </c>
      <c r="F264" t="s">
        <v>34</v>
      </c>
      <c r="G264">
        <f>SUM('All_India_Index_Upto_April23 (1'!$E264:$Q264)</f>
        <v>0</v>
      </c>
      <c r="H264">
        <f>SUM('All_India_Index_Upto_April23 (1'!R264)</f>
        <v>0</v>
      </c>
      <c r="I264">
        <f>SUM('All_India_Index_Upto_April23 (1'!$S264:$U264)</f>
        <v>0</v>
      </c>
      <c r="J264">
        <f>SUM('All_India_Index_Upto_April23 (1'!$V264:$X264)</f>
        <v>0</v>
      </c>
      <c r="K264">
        <f>SUM('All_India_Index_Upto_April23 (1'!$Y264:$AA264)</f>
        <v>0</v>
      </c>
      <c r="L264">
        <f>SUM('All_India_Index_Upto_April23 (1'!$AB264:$AD264)</f>
        <v>0</v>
      </c>
      <c r="M264" s="19">
        <f>AVERAGE(M261,M258,M255,M267,M273,M270)</f>
        <v>151.01666666666668</v>
      </c>
    </row>
    <row r="265" spans="4:13" x14ac:dyDescent="0.3">
      <c r="D265" t="s">
        <v>29</v>
      </c>
      <c r="E265">
        <v>2020</v>
      </c>
      <c r="F265" t="s">
        <v>34</v>
      </c>
      <c r="G265">
        <f>SUM('All_India_Index_Upto_April23 (1'!$E265:$Q265)</f>
        <v>0</v>
      </c>
      <c r="H265">
        <f>SUM('All_India_Index_Upto_April23 (1'!R265)</f>
        <v>0</v>
      </c>
      <c r="I265">
        <f>SUM('All_India_Index_Upto_April23 (1'!$S265:$U265)</f>
        <v>0</v>
      </c>
      <c r="J265">
        <f>SUM('All_India_Index_Upto_April23 (1'!$V265:$X265)</f>
        <v>0</v>
      </c>
      <c r="K265">
        <f>SUM('All_India_Index_Upto_April23 (1'!$Y265:$AA265)</f>
        <v>0</v>
      </c>
      <c r="L265">
        <f>SUM('All_India_Index_Upto_April23 (1'!$AB265:$AD265)</f>
        <v>0</v>
      </c>
    </row>
    <row r="266" spans="4:13" x14ac:dyDescent="0.3">
      <c r="D266" t="s">
        <v>27</v>
      </c>
      <c r="E266">
        <v>2020</v>
      </c>
      <c r="F266" t="s">
        <v>35</v>
      </c>
      <c r="G266">
        <f>SUM('All_India_Index_Upto_April23 (1'!$E266:$Q266)</f>
        <v>1951</v>
      </c>
      <c r="H266">
        <f>SUM('All_India_Index_Upto_April23 (1'!R266)</f>
        <v>182.4</v>
      </c>
      <c r="I266">
        <f>SUM('All_India_Index_Upto_April23 (1'!$S266:$U266)</f>
        <v>458.79999999999995</v>
      </c>
      <c r="J266">
        <f>SUM('All_India_Index_Upto_April23 (1'!$V266:$X266)</f>
        <v>451.3</v>
      </c>
      <c r="K266">
        <f>SUM('All_India_Index_Upto_April23 (1'!$Y266:$AA266)</f>
        <v>471.2</v>
      </c>
      <c r="L266">
        <f>SUM('All_India_Index_Upto_April23 (1'!$AB266:$AD266)</f>
        <v>446.3</v>
      </c>
      <c r="M266">
        <v>152.69999999999999</v>
      </c>
    </row>
    <row r="267" spans="4:13" x14ac:dyDescent="0.3">
      <c r="D267" t="s">
        <v>30</v>
      </c>
      <c r="E267">
        <v>2020</v>
      </c>
      <c r="F267" t="s">
        <v>35</v>
      </c>
      <c r="G267">
        <f>SUM('All_India_Index_Upto_April23 (1'!$E267:$Q267)</f>
        <v>1966.8000000000002</v>
      </c>
      <c r="H267">
        <f>SUM('All_India_Index_Upto_April23 (1'!R267)</f>
        <v>183.5</v>
      </c>
      <c r="I267">
        <f>SUM('All_India_Index_Upto_April23 (1'!$S267:$U267)</f>
        <v>448.29999999999995</v>
      </c>
      <c r="J267">
        <f>SUM('All_India_Index_Upto_April23 (1'!$V267:$X267)</f>
        <v>443</v>
      </c>
      <c r="K267">
        <f>SUM('All_India_Index_Upto_April23 (1'!$Y267:$AA267)</f>
        <v>462.4</v>
      </c>
      <c r="L267">
        <f>SUM('All_India_Index_Upto_April23 (1'!$AB267:$AD267)</f>
        <v>430.3</v>
      </c>
      <c r="M267">
        <v>151.80000000000001</v>
      </c>
    </row>
    <row r="268" spans="4:13" x14ac:dyDescent="0.3">
      <c r="D268" t="s">
        <v>29</v>
      </c>
      <c r="E268">
        <v>2020</v>
      </c>
      <c r="F268" t="s">
        <v>35</v>
      </c>
      <c r="G268">
        <f>SUM('All_India_Index_Upto_April23 (1'!$E268:$Q268)</f>
        <v>1994.9999999999998</v>
      </c>
      <c r="H268">
        <f>SUM('All_India_Index_Upto_April23 (1'!R268)</f>
        <v>186.7</v>
      </c>
      <c r="I268">
        <f>SUM('All_India_Index_Upto_April23 (1'!$S268:$U268)</f>
        <v>432.9</v>
      </c>
      <c r="J268">
        <f>SUM('All_India_Index_Upto_April23 (1'!$V268:$X268)</f>
        <v>432.19999999999993</v>
      </c>
      <c r="K268">
        <f>SUM('All_India_Index_Upto_April23 (1'!$Y268:$AA268)</f>
        <v>452.79999999999995</v>
      </c>
      <c r="L268">
        <f>SUM('All_India_Index_Upto_April23 (1'!$AB268:$AD268)</f>
        <v>415.8</v>
      </c>
      <c r="M268">
        <v>150.80000000000001</v>
      </c>
    </row>
    <row r="269" spans="4:13" x14ac:dyDescent="0.3">
      <c r="D269" t="s">
        <v>27</v>
      </c>
      <c r="E269">
        <v>2020</v>
      </c>
      <c r="F269" t="s">
        <v>36</v>
      </c>
      <c r="G269">
        <f>SUM('All_India_Index_Upto_April23 (1'!$E269:$Q269)</f>
        <v>1951</v>
      </c>
      <c r="H269">
        <f>SUM('All_India_Index_Upto_April23 (1'!R269)</f>
        <v>182.4</v>
      </c>
      <c r="I269">
        <f>SUM('All_India_Index_Upto_April23 (1'!$S269:$U269)</f>
        <v>458.79999999999995</v>
      </c>
      <c r="J269">
        <f>SUM('All_India_Index_Upto_April23 (1'!$V269:$X269)</f>
        <v>451.3</v>
      </c>
      <c r="K269">
        <f>SUM('All_India_Index_Upto_April23 (1'!$Y269:$AA269)</f>
        <v>471.2</v>
      </c>
      <c r="L269">
        <f>SUM('All_India_Index_Upto_April23 (1'!$AB269:$AD269)</f>
        <v>446.3</v>
      </c>
      <c r="M269">
        <v>152.69999999999999</v>
      </c>
    </row>
    <row r="270" spans="4:13" x14ac:dyDescent="0.3">
      <c r="D270" t="s">
        <v>30</v>
      </c>
      <c r="E270">
        <v>2020</v>
      </c>
      <c r="F270" t="s">
        <v>36</v>
      </c>
      <c r="G270">
        <f>SUM('All_India_Index_Upto_April23 (1'!$E270:$Q270)</f>
        <v>1966.8000000000002</v>
      </c>
      <c r="H270">
        <f>SUM('All_India_Index_Upto_April23 (1'!R270)</f>
        <v>183.5</v>
      </c>
      <c r="I270">
        <f>SUM('All_India_Index_Upto_April23 (1'!$S270:$U270)</f>
        <v>448.29999999999995</v>
      </c>
      <c r="J270">
        <f>SUM('All_India_Index_Upto_April23 (1'!$V270:$X270)</f>
        <v>443</v>
      </c>
      <c r="K270">
        <f>SUM('All_India_Index_Upto_April23 (1'!$Y270:$AA270)</f>
        <v>462.4</v>
      </c>
      <c r="L270">
        <f>SUM('All_India_Index_Upto_April23 (1'!$AB270:$AD270)</f>
        <v>430.3</v>
      </c>
      <c r="M270">
        <v>151.80000000000001</v>
      </c>
    </row>
    <row r="271" spans="4:13" x14ac:dyDescent="0.3">
      <c r="D271" t="s">
        <v>29</v>
      </c>
      <c r="E271">
        <v>2020</v>
      </c>
      <c r="F271" t="s">
        <v>36</v>
      </c>
      <c r="G271">
        <f>SUM('All_India_Index_Upto_April23 (1'!$E271:$Q271)</f>
        <v>1994.9999999999998</v>
      </c>
      <c r="H271">
        <f>SUM('All_India_Index_Upto_April23 (1'!R271)</f>
        <v>186.7</v>
      </c>
      <c r="I271">
        <f>SUM('All_India_Index_Upto_April23 (1'!$S271:$U271)</f>
        <v>432.9</v>
      </c>
      <c r="J271">
        <f>SUM('All_India_Index_Upto_April23 (1'!$V271:$X271)</f>
        <v>432.19999999999993</v>
      </c>
      <c r="K271">
        <f>SUM('All_India_Index_Upto_April23 (1'!$Y271:$AA271)</f>
        <v>452.79999999999995</v>
      </c>
      <c r="L271">
        <f>SUM('All_India_Index_Upto_April23 (1'!$AB271:$AD271)</f>
        <v>415.8</v>
      </c>
      <c r="M271">
        <v>150.80000000000001</v>
      </c>
    </row>
    <row r="272" spans="4:13" x14ac:dyDescent="0.3">
      <c r="D272" t="s">
        <v>27</v>
      </c>
      <c r="E272">
        <v>2020</v>
      </c>
      <c r="F272" t="s">
        <v>37</v>
      </c>
      <c r="G272">
        <f>SUM('All_India_Index_Upto_April23 (1'!$E272:$Q272)</f>
        <v>1978.6</v>
      </c>
      <c r="H272">
        <f>SUM('All_India_Index_Upto_April23 (1'!R272)</f>
        <v>180.9</v>
      </c>
      <c r="I272">
        <f>SUM('All_India_Index_Upto_April23 (1'!$S272:$U272)</f>
        <v>458.7</v>
      </c>
      <c r="J272">
        <f>SUM('All_India_Index_Upto_April23 (1'!$V272:$X272)</f>
        <v>453.20000000000005</v>
      </c>
      <c r="K272">
        <f>SUM('All_India_Index_Upto_April23 (1'!$Y272:$AA272)</f>
        <v>475.09999999999997</v>
      </c>
      <c r="L272">
        <f>SUM('All_India_Index_Upto_April23 (1'!$AB272:$AD272)</f>
        <v>448.79999999999995</v>
      </c>
      <c r="M272">
        <v>154.69999999999999</v>
      </c>
    </row>
    <row r="273" spans="4:13" x14ac:dyDescent="0.3">
      <c r="D273" t="s">
        <v>30</v>
      </c>
      <c r="E273">
        <v>2020</v>
      </c>
      <c r="F273" t="s">
        <v>37</v>
      </c>
      <c r="G273">
        <f>SUM('All_India_Index_Upto_April23 (1'!$E273:$Q273)</f>
        <v>1995.1999999999998</v>
      </c>
      <c r="H273">
        <f>SUM('All_India_Index_Upto_April23 (1'!R273)</f>
        <v>182.6</v>
      </c>
      <c r="I273">
        <f>SUM('All_India_Index_Upto_April23 (1'!$S273:$U273)</f>
        <v>448.2</v>
      </c>
      <c r="J273">
        <f>SUM('All_India_Index_Upto_April23 (1'!$V273:$X273)</f>
        <v>446.9</v>
      </c>
      <c r="K273">
        <f>SUM('All_India_Index_Upto_April23 (1'!$Y273:$AA273)</f>
        <v>467.8</v>
      </c>
      <c r="L273">
        <f>SUM('All_India_Index_Upto_April23 (1'!$AB273:$AD273)</f>
        <v>433.5</v>
      </c>
      <c r="M273">
        <v>153.9</v>
      </c>
    </row>
    <row r="274" spans="4:13" x14ac:dyDescent="0.3">
      <c r="D274" t="s">
        <v>29</v>
      </c>
      <c r="E274">
        <v>2020</v>
      </c>
      <c r="F274" t="s">
        <v>37</v>
      </c>
      <c r="G274">
        <f>SUM('All_India_Index_Upto_April23 (1'!$E274:$Q274)</f>
        <v>2024.8999999999999</v>
      </c>
      <c r="H274">
        <f>SUM('All_India_Index_Upto_April23 (1'!R274)</f>
        <v>187.2</v>
      </c>
      <c r="I274">
        <f>SUM('All_India_Index_Upto_April23 (1'!$S274:$U274)</f>
        <v>433</v>
      </c>
      <c r="J274">
        <f>SUM('All_India_Index_Upto_April23 (1'!$V274:$X274)</f>
        <v>438.3</v>
      </c>
      <c r="K274">
        <f>SUM('All_India_Index_Upto_April23 (1'!$Y274:$AA274)</f>
        <v>459.4</v>
      </c>
      <c r="L274">
        <f>SUM('All_India_Index_Upto_April23 (1'!$AB274:$AD274)</f>
        <v>419.90000000000003</v>
      </c>
      <c r="M274">
        <v>152.9</v>
      </c>
    </row>
    <row r="275" spans="4:13" x14ac:dyDescent="0.3">
      <c r="D275" t="s">
        <v>27</v>
      </c>
      <c r="E275">
        <v>2020</v>
      </c>
      <c r="F275" t="s">
        <v>38</v>
      </c>
      <c r="G275">
        <f>SUM('All_India_Index_Upto_April23 (1'!$E275:$Q275)</f>
        <v>1987.3999999999999</v>
      </c>
      <c r="H275">
        <f>SUM('All_India_Index_Upto_April23 (1'!R275)</f>
        <v>182.9</v>
      </c>
      <c r="I275">
        <f>SUM('All_India_Index_Upto_April23 (1'!$S275:$U275)</f>
        <v>459.9</v>
      </c>
      <c r="J275">
        <f>SUM('All_India_Index_Upto_April23 (1'!$V275:$X275)</f>
        <v>454.30000000000007</v>
      </c>
      <c r="K275">
        <f>SUM('All_India_Index_Upto_April23 (1'!$Y275:$AA275)</f>
        <v>477.6</v>
      </c>
      <c r="L275">
        <f>SUM('All_India_Index_Upto_April23 (1'!$AB275:$AD275)</f>
        <v>451.09999999999997</v>
      </c>
      <c r="M275">
        <v>155.4</v>
      </c>
    </row>
    <row r="276" spans="4:13" x14ac:dyDescent="0.3">
      <c r="D276" t="s">
        <v>30</v>
      </c>
      <c r="E276">
        <v>2020</v>
      </c>
      <c r="F276" t="s">
        <v>38</v>
      </c>
      <c r="G276">
        <f>SUM('All_India_Index_Upto_April23 (1'!$E276:$Q276)</f>
        <v>2007</v>
      </c>
      <c r="H276">
        <f>SUM('All_India_Index_Upto_April23 (1'!R276)</f>
        <v>184.4</v>
      </c>
      <c r="I276">
        <f>SUM('All_India_Index_Upto_April23 (1'!$S276:$U276)</f>
        <v>449.70000000000005</v>
      </c>
      <c r="J276">
        <f>SUM('All_India_Index_Upto_April23 (1'!$V276:$X276)</f>
        <v>447.90000000000003</v>
      </c>
      <c r="K276">
        <f>SUM('All_India_Index_Upto_April23 (1'!$Y276:$AA276)</f>
        <v>471.5</v>
      </c>
      <c r="L276">
        <f>SUM('All_India_Index_Upto_April23 (1'!$AB276:$AD276)</f>
        <v>436.2</v>
      </c>
      <c r="M276">
        <v>154.69999999999999</v>
      </c>
    </row>
    <row r="277" spans="4:13" x14ac:dyDescent="0.3">
      <c r="D277" t="s">
        <v>29</v>
      </c>
      <c r="E277">
        <v>2020</v>
      </c>
      <c r="F277" t="s">
        <v>38</v>
      </c>
      <c r="G277">
        <f>SUM('All_India_Index_Upto_April23 (1'!$E277:$Q277)</f>
        <v>2041.6000000000001</v>
      </c>
      <c r="H277">
        <f>SUM('All_India_Index_Upto_April23 (1'!R277)</f>
        <v>188.7</v>
      </c>
      <c r="I277">
        <f>SUM('All_India_Index_Upto_April23 (1'!$S277:$U277)</f>
        <v>434.6</v>
      </c>
      <c r="J277">
        <f>SUM('All_India_Index_Upto_April23 (1'!$V277:$X277)</f>
        <v>438.9</v>
      </c>
      <c r="K277">
        <f>SUM('All_India_Index_Upto_April23 (1'!$Y277:$AA277)</f>
        <v>464.70000000000005</v>
      </c>
      <c r="L277">
        <f>SUM('All_India_Index_Upto_April23 (1'!$AB277:$AD277)</f>
        <v>422.9</v>
      </c>
      <c r="M277">
        <v>154</v>
      </c>
    </row>
    <row r="278" spans="4:13" x14ac:dyDescent="0.3">
      <c r="D278" t="s">
        <v>27</v>
      </c>
      <c r="E278">
        <v>2020</v>
      </c>
      <c r="F278" t="s">
        <v>39</v>
      </c>
      <c r="G278">
        <f>SUM('All_India_Index_Upto_April23 (1'!$E278:$Q278)</f>
        <v>2030.9</v>
      </c>
      <c r="H278">
        <f>SUM('All_India_Index_Upto_April23 (1'!R278)</f>
        <v>182.7</v>
      </c>
      <c r="I278">
        <f>SUM('All_India_Index_Upto_April23 (1'!$S278:$U278)</f>
        <v>461.29999999999995</v>
      </c>
      <c r="J278">
        <f>SUM('All_India_Index_Upto_April23 (1'!$V278:$X278)</f>
        <v>455.3</v>
      </c>
      <c r="K278">
        <f>SUM('All_India_Index_Upto_April23 (1'!$Y278:$AA278)</f>
        <v>478.2</v>
      </c>
      <c r="L278">
        <f>SUM('All_India_Index_Upto_April23 (1'!$AB278:$AD278)</f>
        <v>453.1</v>
      </c>
      <c r="M278">
        <v>157.5</v>
      </c>
    </row>
    <row r="279" spans="4:13" x14ac:dyDescent="0.3">
      <c r="D279" t="s">
        <v>30</v>
      </c>
      <c r="E279">
        <v>2020</v>
      </c>
      <c r="F279" t="s">
        <v>39</v>
      </c>
      <c r="G279">
        <f>SUM('All_India_Index_Upto_April23 (1'!$E279:$Q279)</f>
        <v>2048.6000000000004</v>
      </c>
      <c r="H279">
        <f>SUM('All_India_Index_Upto_April23 (1'!R279)</f>
        <v>184.3</v>
      </c>
      <c r="I279">
        <f>SUM('All_India_Index_Upto_April23 (1'!$S279:$U279)</f>
        <v>450.59999999999997</v>
      </c>
      <c r="J279">
        <f>SUM('All_India_Index_Upto_April23 (1'!$V279:$X279)</f>
        <v>448.3</v>
      </c>
      <c r="K279">
        <f>SUM('All_India_Index_Upto_April23 (1'!$Y279:$AA279)</f>
        <v>471.8</v>
      </c>
      <c r="L279">
        <f>SUM('All_India_Index_Upto_April23 (1'!$AB279:$AD279)</f>
        <v>437.5</v>
      </c>
      <c r="M279">
        <v>156.4</v>
      </c>
    </row>
    <row r="280" spans="4:13" x14ac:dyDescent="0.3">
      <c r="D280" t="s">
        <v>29</v>
      </c>
      <c r="E280">
        <v>2020</v>
      </c>
      <c r="F280" t="s">
        <v>39</v>
      </c>
      <c r="G280">
        <f>SUM('All_India_Index_Upto_April23 (1'!$E280:$Q280)</f>
        <v>2080.1999999999998</v>
      </c>
      <c r="H280">
        <f>SUM('All_India_Index_Upto_April23 (1'!R280)</f>
        <v>188.7</v>
      </c>
      <c r="I280">
        <f>SUM('All_India_Index_Upto_April23 (1'!$S280:$U280)</f>
        <v>434.90000000000003</v>
      </c>
      <c r="J280">
        <f>SUM('All_India_Index_Upto_April23 (1'!$V280:$X280)</f>
        <v>438.70000000000005</v>
      </c>
      <c r="K280">
        <f>SUM('All_India_Index_Upto_April23 (1'!$Y280:$AA280)</f>
        <v>464.8</v>
      </c>
      <c r="L280">
        <f>SUM('All_India_Index_Upto_April23 (1'!$AB280:$AD280)</f>
        <v>423.59999999999997</v>
      </c>
      <c r="M280">
        <v>155.19999999999999</v>
      </c>
    </row>
    <row r="281" spans="4:13" x14ac:dyDescent="0.3">
      <c r="D281" t="s">
        <v>27</v>
      </c>
      <c r="E281">
        <v>2020</v>
      </c>
      <c r="F281" t="s">
        <v>41</v>
      </c>
      <c r="G281">
        <f>SUM('All_India_Index_Upto_April23 (1'!$E281:$Q281)</f>
        <v>2082.4</v>
      </c>
      <c r="H281">
        <f>SUM('All_India_Index_Upto_April23 (1'!R281)</f>
        <v>183.4</v>
      </c>
      <c r="I281">
        <f>SUM('All_India_Index_Upto_April23 (1'!$S281:$U281)</f>
        <v>462.8</v>
      </c>
      <c r="J281">
        <f>SUM('All_India_Index_Upto_April23 (1'!$V281:$X281)</f>
        <v>458.3</v>
      </c>
      <c r="K281">
        <f>SUM('All_India_Index_Upto_April23 (1'!$Y281:$AA281)</f>
        <v>478.20000000000005</v>
      </c>
      <c r="L281">
        <f>SUM('All_India_Index_Upto_April23 (1'!$AB281:$AD281)</f>
        <v>454.2</v>
      </c>
      <c r="M281">
        <v>159.80000000000001</v>
      </c>
    </row>
    <row r="282" spans="4:13" x14ac:dyDescent="0.3">
      <c r="D282" t="s">
        <v>30</v>
      </c>
      <c r="E282">
        <v>2020</v>
      </c>
      <c r="F282" t="s">
        <v>41</v>
      </c>
      <c r="G282">
        <f>SUM('All_India_Index_Upto_April23 (1'!$E282:$Q282)</f>
        <v>2095.6</v>
      </c>
      <c r="H282">
        <f>SUM('All_India_Index_Upto_April23 (1'!R282)</f>
        <v>184.8</v>
      </c>
      <c r="I282">
        <f>SUM('All_India_Index_Upto_April23 (1'!$S282:$U282)</f>
        <v>452.00000000000006</v>
      </c>
      <c r="J282">
        <f>SUM('All_India_Index_Upto_April23 (1'!$V282:$X282)</f>
        <v>450.8</v>
      </c>
      <c r="K282">
        <f>SUM('All_India_Index_Upto_April23 (1'!$Y282:$AA282)</f>
        <v>472.70000000000005</v>
      </c>
      <c r="L282">
        <f>SUM('All_India_Index_Upto_April23 (1'!$AB282:$AD282)</f>
        <v>439.5</v>
      </c>
      <c r="M282">
        <v>158.4</v>
      </c>
    </row>
    <row r="283" spans="4:13" x14ac:dyDescent="0.3">
      <c r="D283" t="s">
        <v>29</v>
      </c>
      <c r="E283">
        <v>2020</v>
      </c>
      <c r="F283" t="s">
        <v>41</v>
      </c>
      <c r="G283">
        <f>SUM('All_India_Index_Upto_April23 (1'!$E283:$Q283)</f>
        <v>2120.6999999999998</v>
      </c>
      <c r="H283">
        <f>SUM('All_India_Index_Upto_April23 (1'!R283)</f>
        <v>188.8</v>
      </c>
      <c r="I283">
        <f>SUM('All_India_Index_Upto_April23 (1'!$S283:$U283)</f>
        <v>436.3</v>
      </c>
      <c r="J283">
        <f>SUM('All_India_Index_Upto_April23 (1'!$V283:$X283)</f>
        <v>440.4</v>
      </c>
      <c r="K283">
        <f>SUM('All_India_Index_Upto_April23 (1'!$Y283:$AA283)</f>
        <v>466.29999999999995</v>
      </c>
      <c r="L283">
        <f>SUM('All_India_Index_Upto_April23 (1'!$AB283:$AD283)</f>
        <v>426.20000000000005</v>
      </c>
      <c r="M283">
        <v>156.69999999999999</v>
      </c>
    </row>
    <row r="284" spans="4:13" x14ac:dyDescent="0.3">
      <c r="D284" t="s">
        <v>27</v>
      </c>
      <c r="E284">
        <v>2020</v>
      </c>
      <c r="F284" t="s">
        <v>42</v>
      </c>
      <c r="G284">
        <f>SUM('All_India_Index_Upto_April23 (1'!$E284:$Q284)</f>
        <v>2100.5</v>
      </c>
      <c r="H284">
        <f>SUM('All_India_Index_Upto_April23 (1'!R284)</f>
        <v>183.6</v>
      </c>
      <c r="I284">
        <f>SUM('All_India_Index_Upto_April23 (1'!$S284:$U284)</f>
        <v>464.90000000000003</v>
      </c>
      <c r="J284">
        <f>SUM('All_India_Index_Upto_April23 (1'!$V284:$X284)</f>
        <v>460.5</v>
      </c>
      <c r="K284">
        <f>SUM('All_India_Index_Upto_April23 (1'!$Y284:$AA284)</f>
        <v>481.1</v>
      </c>
      <c r="L284">
        <f>SUM('All_India_Index_Upto_April23 (1'!$AB284:$AD284)</f>
        <v>455.5</v>
      </c>
      <c r="M284">
        <v>160.69999999999999</v>
      </c>
    </row>
    <row r="285" spans="4:13" x14ac:dyDescent="0.3">
      <c r="D285" t="s">
        <v>30</v>
      </c>
      <c r="E285">
        <v>2020</v>
      </c>
      <c r="F285" t="s">
        <v>42</v>
      </c>
      <c r="G285">
        <f>SUM('All_India_Index_Upto_April23 (1'!$E285:$Q285)</f>
        <v>2109.1</v>
      </c>
      <c r="H285">
        <f>SUM('All_India_Index_Upto_April23 (1'!R285)</f>
        <v>185.4</v>
      </c>
      <c r="I285">
        <f>SUM('All_India_Index_Upto_April23 (1'!$S285:$U285)</f>
        <v>454</v>
      </c>
      <c r="J285">
        <f>SUM('All_India_Index_Upto_April23 (1'!$V285:$X285)</f>
        <v>452.7</v>
      </c>
      <c r="K285">
        <f>SUM('All_India_Index_Upto_April23 (1'!$Y285:$AA285)</f>
        <v>474.79999999999995</v>
      </c>
      <c r="L285">
        <f>SUM('All_India_Index_Upto_April23 (1'!$AB285:$AD285)</f>
        <v>440.4</v>
      </c>
      <c r="M285">
        <v>158.9</v>
      </c>
    </row>
    <row r="286" spans="4:13" x14ac:dyDescent="0.3">
      <c r="D286" t="s">
        <v>29</v>
      </c>
      <c r="E286">
        <v>2020</v>
      </c>
      <c r="F286" t="s">
        <v>42</v>
      </c>
      <c r="G286">
        <f>SUM('All_India_Index_Upto_April23 (1'!$E286:$Q286)</f>
        <v>2125.4</v>
      </c>
      <c r="H286">
        <f>SUM('All_India_Index_Upto_April23 (1'!R286)</f>
        <v>190.2</v>
      </c>
      <c r="I286">
        <f>SUM('All_India_Index_Upto_April23 (1'!$S286:$U286)</f>
        <v>438.20000000000005</v>
      </c>
      <c r="J286">
        <f>SUM('All_India_Index_Upto_April23 (1'!$V286:$X286)</f>
        <v>441.8</v>
      </c>
      <c r="K286">
        <f>SUM('All_India_Index_Upto_April23 (1'!$Y286:$AA286)</f>
        <v>467.70000000000005</v>
      </c>
      <c r="L286">
        <f>SUM('All_India_Index_Upto_April23 (1'!$AB286:$AD286)</f>
        <v>426.70000000000005</v>
      </c>
      <c r="M286">
        <v>156.9</v>
      </c>
    </row>
    <row r="287" spans="4:13" x14ac:dyDescent="0.3">
      <c r="D287" t="s">
        <v>27</v>
      </c>
      <c r="E287">
        <v>2021</v>
      </c>
      <c r="F287" t="s">
        <v>28</v>
      </c>
      <c r="G287">
        <f>SUM('All_India_Index_Upto_April23 (1'!$E287:$Q287)</f>
        <v>2065.6999999999998</v>
      </c>
      <c r="H287">
        <f>SUM('All_India_Index_Upto_April23 (1'!R287)</f>
        <v>184.6</v>
      </c>
      <c r="I287">
        <f>SUM('All_India_Index_Upto_April23 (1'!$S287:$U287)</f>
        <v>466.7</v>
      </c>
      <c r="J287">
        <f>SUM('All_India_Index_Upto_April23 (1'!$V287:$X287)</f>
        <v>462.5</v>
      </c>
      <c r="K287">
        <f>SUM('All_India_Index_Upto_April23 (1'!$Y287:$AA287)</f>
        <v>482.2</v>
      </c>
      <c r="L287">
        <f>SUM('All_India_Index_Upto_April23 (1'!$AB287:$AD287)</f>
        <v>458.5</v>
      </c>
      <c r="M287">
        <v>158.5</v>
      </c>
    </row>
    <row r="288" spans="4:13" x14ac:dyDescent="0.3">
      <c r="D288" t="s">
        <v>30</v>
      </c>
      <c r="E288">
        <v>2021</v>
      </c>
      <c r="F288" t="s">
        <v>28</v>
      </c>
      <c r="G288">
        <f>SUM('All_India_Index_Upto_April23 (1'!$E288:$Q288)</f>
        <v>2076.5</v>
      </c>
      <c r="H288">
        <f>SUM('All_India_Index_Upto_April23 (1'!R288)</f>
        <v>186.5</v>
      </c>
      <c r="I288">
        <f>SUM('All_India_Index_Upto_April23 (1'!$S288:$U288)</f>
        <v>455.8</v>
      </c>
      <c r="J288">
        <f>SUM('All_India_Index_Upto_April23 (1'!$V288:$X288)</f>
        <v>455.6</v>
      </c>
      <c r="K288">
        <f>SUM('All_India_Index_Upto_April23 (1'!$Y288:$AA288)</f>
        <v>475.3</v>
      </c>
      <c r="L288">
        <f>SUM('All_India_Index_Upto_April23 (1'!$AB288:$AD288)</f>
        <v>443.4</v>
      </c>
      <c r="M288">
        <v>157.30000000000001</v>
      </c>
    </row>
    <row r="289" spans="4:13" x14ac:dyDescent="0.3">
      <c r="D289" t="s">
        <v>29</v>
      </c>
      <c r="E289">
        <v>2021</v>
      </c>
      <c r="F289" t="s">
        <v>28</v>
      </c>
      <c r="G289">
        <f>SUM('All_India_Index_Upto_April23 (1'!$E289:$Q289)</f>
        <v>2097</v>
      </c>
      <c r="H289">
        <f>SUM('All_India_Index_Upto_April23 (1'!R289)</f>
        <v>191.8</v>
      </c>
      <c r="I289">
        <f>SUM('All_India_Index_Upto_April23 (1'!$S289:$U289)</f>
        <v>440</v>
      </c>
      <c r="J289">
        <f>SUM('All_India_Index_Upto_April23 (1'!$V289:$X289)</f>
        <v>446.3</v>
      </c>
      <c r="K289">
        <f>SUM('All_India_Index_Upto_April23 (1'!$Y289:$AA289)</f>
        <v>467.9</v>
      </c>
      <c r="L289">
        <f>SUM('All_India_Index_Upto_April23 (1'!$AB289:$AD289)</f>
        <v>429.9</v>
      </c>
      <c r="M289">
        <v>156</v>
      </c>
    </row>
    <row r="290" spans="4:13" x14ac:dyDescent="0.3">
      <c r="D290" t="s">
        <v>27</v>
      </c>
      <c r="E290">
        <v>2021</v>
      </c>
      <c r="F290" t="s">
        <v>31</v>
      </c>
      <c r="G290">
        <f>SUM('All_India_Index_Upto_April23 (1'!$E290:$Q290)</f>
        <v>2025.3</v>
      </c>
      <c r="H290">
        <f>SUM('All_India_Index_Upto_April23 (1'!R290)</f>
        <v>186.5</v>
      </c>
      <c r="I290">
        <f>SUM('All_India_Index_Upto_April23 (1'!$S290:$U290)</f>
        <v>471.4</v>
      </c>
      <c r="J290">
        <f>SUM('All_India_Index_Upto_April23 (1'!$V290:$X290)</f>
        <v>469.00000000000006</v>
      </c>
      <c r="K290">
        <f>SUM('All_India_Index_Upto_April23 (1'!$Y290:$AA290)</f>
        <v>483.1</v>
      </c>
      <c r="L290">
        <f>SUM('All_India_Index_Upto_April23 (1'!$AB290:$AD290)</f>
        <v>464.4</v>
      </c>
      <c r="M290">
        <v>156.69999999999999</v>
      </c>
    </row>
    <row r="291" spans="4:13" x14ac:dyDescent="0.3">
      <c r="D291" t="s">
        <v>30</v>
      </c>
      <c r="E291">
        <v>2021</v>
      </c>
      <c r="F291" t="s">
        <v>31</v>
      </c>
      <c r="G291">
        <f>SUM('All_India_Index_Upto_April23 (1'!$E291:$Q291)</f>
        <v>2039.3000000000002</v>
      </c>
      <c r="H291">
        <f>SUM('All_India_Index_Upto_April23 (1'!R291)</f>
        <v>188.3</v>
      </c>
      <c r="I291">
        <f>SUM('All_India_Index_Upto_April23 (1'!$S291:$U291)</f>
        <v>460.40000000000003</v>
      </c>
      <c r="J291">
        <f>SUM('All_India_Index_Upto_April23 (1'!$V291:$X291)</f>
        <v>463.1</v>
      </c>
      <c r="K291">
        <f>SUM('All_India_Index_Upto_April23 (1'!$Y291:$AA291)</f>
        <v>476.6</v>
      </c>
      <c r="L291">
        <f>SUM('All_India_Index_Upto_April23 (1'!$AB291:$AD291)</f>
        <v>450</v>
      </c>
      <c r="M291">
        <v>156.6</v>
      </c>
    </row>
    <row r="292" spans="4:13" x14ac:dyDescent="0.3">
      <c r="D292" t="s">
        <v>29</v>
      </c>
      <c r="E292">
        <v>2021</v>
      </c>
      <c r="F292" t="s">
        <v>31</v>
      </c>
      <c r="G292">
        <f>SUM('All_India_Index_Upto_April23 (1'!$E292:$Q292)</f>
        <v>2066</v>
      </c>
      <c r="H292">
        <f>SUM('All_India_Index_Upto_April23 (1'!R292)</f>
        <v>193.3</v>
      </c>
      <c r="I292">
        <f>SUM('All_India_Index_Upto_April23 (1'!$S292:$U292)</f>
        <v>444.2</v>
      </c>
      <c r="J292">
        <f>SUM('All_India_Index_Upto_April23 (1'!$V292:$X292)</f>
        <v>455.4</v>
      </c>
      <c r="K292">
        <f>SUM('All_India_Index_Upto_April23 (1'!$Y292:$AA292)</f>
        <v>469.6</v>
      </c>
      <c r="L292">
        <f>SUM('All_India_Index_Upto_April23 (1'!$AB292:$AD292)</f>
        <v>437.1</v>
      </c>
      <c r="M292">
        <v>156.5</v>
      </c>
    </row>
    <row r="293" spans="4:13" x14ac:dyDescent="0.3">
      <c r="D293" t="s">
        <v>27</v>
      </c>
      <c r="E293">
        <v>2021</v>
      </c>
      <c r="F293" t="s">
        <v>32</v>
      </c>
      <c r="G293">
        <f>SUM('All_India_Index_Upto_April23 (1'!$E293:$Q293)</f>
        <v>2025.7</v>
      </c>
      <c r="H293">
        <f>SUM('All_India_Index_Upto_April23 (1'!R293)</f>
        <v>186.1</v>
      </c>
      <c r="I293">
        <f>SUM('All_India_Index_Upto_April23 (1'!$S293:$U293)</f>
        <v>472.9</v>
      </c>
      <c r="J293">
        <f>SUM('All_India_Index_Upto_April23 (1'!$V293:$X293)</f>
        <v>470.7</v>
      </c>
      <c r="K293">
        <f>SUM('All_India_Index_Upto_April23 (1'!$Y293:$AA293)</f>
        <v>481.5</v>
      </c>
      <c r="L293">
        <f>SUM('All_India_Index_Upto_April23 (1'!$AB293:$AD293)</f>
        <v>466.40000000000003</v>
      </c>
      <c r="M293">
        <v>156.69999999999999</v>
      </c>
    </row>
    <row r="294" spans="4:13" x14ac:dyDescent="0.3">
      <c r="D294" t="s">
        <v>30</v>
      </c>
      <c r="E294">
        <v>2021</v>
      </c>
      <c r="F294" t="s">
        <v>32</v>
      </c>
      <c r="G294">
        <f>SUM('All_India_Index_Upto_April23 (1'!$E294:$Q294)</f>
        <v>2039.3999999999999</v>
      </c>
      <c r="H294">
        <f>SUM('All_India_Index_Upto_April23 (1'!R294)</f>
        <v>188.1</v>
      </c>
      <c r="I294">
        <f>SUM('All_India_Index_Upto_April23 (1'!$S294:$U294)</f>
        <v>462.1</v>
      </c>
      <c r="J294">
        <f>SUM('All_India_Index_Upto_April23 (1'!$V294:$X294)</f>
        <v>466.59999999999997</v>
      </c>
      <c r="K294">
        <f>SUM('All_India_Index_Upto_April23 (1'!$Y294:$AA294)</f>
        <v>475.7</v>
      </c>
      <c r="L294">
        <f>SUM('All_India_Index_Upto_April23 (1'!$AB294:$AD294)</f>
        <v>452.59999999999997</v>
      </c>
      <c r="M294">
        <v>156.80000000000001</v>
      </c>
    </row>
    <row r="295" spans="4:13" x14ac:dyDescent="0.3">
      <c r="D295" t="s">
        <v>29</v>
      </c>
      <c r="E295">
        <v>2021</v>
      </c>
      <c r="F295" t="s">
        <v>32</v>
      </c>
      <c r="G295">
        <f>SUM('All_India_Index_Upto_April23 (1'!$E295:$Q295)</f>
        <v>2064.4999999999995</v>
      </c>
      <c r="H295">
        <f>SUM('All_India_Index_Upto_April23 (1'!R295)</f>
        <v>193.5</v>
      </c>
      <c r="I295">
        <f>SUM('All_India_Index_Upto_April23 (1'!$S295:$U295)</f>
        <v>446.4</v>
      </c>
      <c r="J295">
        <f>SUM('All_India_Index_Upto_April23 (1'!$V295:$X295)</f>
        <v>461.90000000000003</v>
      </c>
      <c r="K295">
        <f>SUM('All_India_Index_Upto_April23 (1'!$Y295:$AA295)</f>
        <v>469.4</v>
      </c>
      <c r="L295">
        <f>SUM('All_India_Index_Upto_April23 (1'!$AB295:$AD295)</f>
        <v>440.29999999999995</v>
      </c>
      <c r="M295">
        <v>156.9</v>
      </c>
    </row>
    <row r="296" spans="4:13" x14ac:dyDescent="0.3">
      <c r="D296" t="s">
        <v>27</v>
      </c>
      <c r="E296">
        <v>2021</v>
      </c>
      <c r="F296" t="s">
        <v>33</v>
      </c>
      <c r="G296">
        <f>SUM('All_India_Index_Upto_April23 (1'!$E296:$Q296)</f>
        <v>2049.5</v>
      </c>
      <c r="H296">
        <f>SUM('All_India_Index_Upto_April23 (1'!R296)</f>
        <v>186.8</v>
      </c>
      <c r="I296">
        <f>SUM('All_India_Index_Upto_April23 (1'!$S296:$U296)</f>
        <v>475.69999999999993</v>
      </c>
      <c r="J296">
        <f>SUM('All_India_Index_Upto_April23 (1'!$V296:$X296)</f>
        <v>472.9</v>
      </c>
      <c r="K296">
        <f>SUM('All_India_Index_Upto_April23 (1'!$Y296:$AA296)</f>
        <v>484</v>
      </c>
      <c r="L296">
        <f>SUM('All_India_Index_Upto_April23 (1'!$AB296:$AD296)</f>
        <v>468.29999999999995</v>
      </c>
      <c r="M296">
        <v>157.6</v>
      </c>
    </row>
    <row r="297" spans="4:13" x14ac:dyDescent="0.3">
      <c r="D297" t="s">
        <v>30</v>
      </c>
      <c r="E297">
        <v>2021</v>
      </c>
      <c r="F297" t="s">
        <v>33</v>
      </c>
      <c r="G297">
        <f>SUM('All_India_Index_Upto_April23 (1'!$E297:$Q297)</f>
        <v>2064.1</v>
      </c>
      <c r="H297">
        <f>SUM('All_India_Index_Upto_April23 (1'!R297)</f>
        <v>188.8</v>
      </c>
      <c r="I297">
        <f>SUM('All_India_Index_Upto_April23 (1'!$S297:$U297)</f>
        <v>464.6</v>
      </c>
      <c r="J297">
        <f>SUM('All_India_Index_Upto_April23 (1'!$V297:$X297)</f>
        <v>468.8</v>
      </c>
      <c r="K297">
        <f>SUM('All_India_Index_Upto_April23 (1'!$Y297:$AA297)</f>
        <v>478.00000000000006</v>
      </c>
      <c r="L297">
        <f>SUM('All_India_Index_Upto_April23 (1'!$AB297:$AD297)</f>
        <v>454.19999999999993</v>
      </c>
      <c r="M297">
        <v>157.80000000000001</v>
      </c>
    </row>
    <row r="298" spans="4:13" x14ac:dyDescent="0.3">
      <c r="D298" t="s">
        <v>29</v>
      </c>
      <c r="E298">
        <v>2021</v>
      </c>
      <c r="F298" t="s">
        <v>33</v>
      </c>
      <c r="G298">
        <f>SUM('All_India_Index_Upto_April23 (1'!$E298:$Q298)</f>
        <v>2089.6</v>
      </c>
      <c r="H298">
        <f>SUM('All_India_Index_Upto_April23 (1'!R298)</f>
        <v>194.4</v>
      </c>
      <c r="I298">
        <f>SUM('All_India_Index_Upto_April23 (1'!$S298:$U298)</f>
        <v>448.6</v>
      </c>
      <c r="J298">
        <f>SUM('All_India_Index_Upto_April23 (1'!$V298:$X298)</f>
        <v>463.9</v>
      </c>
      <c r="K298">
        <f>SUM('All_India_Index_Upto_April23 (1'!$Y298:$AA298)</f>
        <v>471.70000000000005</v>
      </c>
      <c r="L298">
        <f>SUM('All_India_Index_Upto_April23 (1'!$AB298:$AD298)</f>
        <v>441.7</v>
      </c>
      <c r="M298">
        <v>158</v>
      </c>
    </row>
    <row r="299" spans="4:13" x14ac:dyDescent="0.3">
      <c r="D299" t="s">
        <v>27</v>
      </c>
      <c r="E299">
        <v>2021</v>
      </c>
      <c r="F299" t="s">
        <v>34</v>
      </c>
      <c r="G299">
        <f>SUM('All_India_Index_Upto_April23 (1'!$E299:$Q299)</f>
        <v>2095.2999999999997</v>
      </c>
      <c r="H299">
        <f>SUM('All_India_Index_Upto_April23 (1'!R299)</f>
        <v>189.6</v>
      </c>
      <c r="I299">
        <f>SUM('All_India_Index_Upto_April23 (1'!$S299:$U299)</f>
        <v>490.4</v>
      </c>
      <c r="J299">
        <f>SUM('All_India_Index_Upto_April23 (1'!$V299:$X299)</f>
        <v>482.09999999999997</v>
      </c>
      <c r="K299">
        <f>SUM('All_India_Index_Upto_April23 (1'!$Y299:$AA299)</f>
        <v>496</v>
      </c>
      <c r="L299">
        <f>SUM('All_India_Index_Upto_April23 (1'!$AB299:$AD299)</f>
        <v>474.29999999999995</v>
      </c>
      <c r="M299">
        <v>161.1</v>
      </c>
    </row>
    <row r="300" spans="4:13" x14ac:dyDescent="0.3">
      <c r="D300" t="s">
        <v>30</v>
      </c>
      <c r="E300">
        <v>2021</v>
      </c>
      <c r="F300" t="s">
        <v>34</v>
      </c>
      <c r="G300">
        <f>SUM('All_India_Index_Upto_April23 (1'!$E300:$Q300)</f>
        <v>2105.7000000000003</v>
      </c>
      <c r="H300">
        <f>SUM('All_India_Index_Upto_April23 (1'!R300)</f>
        <v>191.9</v>
      </c>
      <c r="I300">
        <f>SUM('All_India_Index_Upto_April23 (1'!$S300:$U300)</f>
        <v>474.29999999999995</v>
      </c>
      <c r="J300">
        <f>SUM('All_India_Index_Upto_April23 (1'!$V300:$X300)</f>
        <v>475.7</v>
      </c>
      <c r="K300">
        <f>SUM('All_India_Index_Upto_April23 (1'!$Y300:$AA300)</f>
        <v>485.59999999999997</v>
      </c>
      <c r="L300">
        <f>SUM('All_India_Index_Upto_April23 (1'!$AB300:$AD300)</f>
        <v>461.50000000000006</v>
      </c>
      <c r="M300">
        <v>160.4</v>
      </c>
    </row>
    <row r="301" spans="4:13" x14ac:dyDescent="0.3">
      <c r="D301" t="s">
        <v>29</v>
      </c>
      <c r="E301">
        <v>2021</v>
      </c>
      <c r="F301" t="s">
        <v>34</v>
      </c>
      <c r="G301">
        <f>SUM('All_India_Index_Upto_April23 (1'!$E301:$Q301)</f>
        <v>2124.7000000000003</v>
      </c>
      <c r="H301">
        <f>SUM('All_India_Index_Upto_April23 (1'!R301)</f>
        <v>198.2</v>
      </c>
      <c r="I301">
        <f>SUM('All_India_Index_Upto_April23 (1'!$S301:$U301)</f>
        <v>450.79999999999995</v>
      </c>
      <c r="J301">
        <f>SUM('All_India_Index_Upto_April23 (1'!$V301:$X301)</f>
        <v>467.20000000000005</v>
      </c>
      <c r="K301">
        <f>SUM('All_India_Index_Upto_April23 (1'!$Y301:$AA301)</f>
        <v>474.5</v>
      </c>
      <c r="L301">
        <f>SUM('All_India_Index_Upto_April23 (1'!$AB301:$AD301)</f>
        <v>449.90000000000003</v>
      </c>
      <c r="M301">
        <v>159.5</v>
      </c>
    </row>
    <row r="302" spans="4:13" x14ac:dyDescent="0.3">
      <c r="D302" t="s">
        <v>27</v>
      </c>
      <c r="E302">
        <v>2021</v>
      </c>
      <c r="F302" t="s">
        <v>35</v>
      </c>
      <c r="G302">
        <f>SUM('All_India_Index_Upto_April23 (1'!$E302:$Q302)</f>
        <v>2122.6</v>
      </c>
      <c r="H302">
        <f>SUM('All_India_Index_Upto_April23 (1'!R302)</f>
        <v>189.1</v>
      </c>
      <c r="I302">
        <f>SUM('All_India_Index_Upto_April23 (1'!$S302:$U302)</f>
        <v>489.80000000000007</v>
      </c>
      <c r="J302">
        <f>SUM('All_India_Index_Upto_April23 (1'!$V302:$X302)</f>
        <v>481.8</v>
      </c>
      <c r="K302">
        <f>SUM('All_India_Index_Upto_April23 (1'!$Y302:$AA302)</f>
        <v>495.90000000000003</v>
      </c>
      <c r="L302">
        <f>SUM('All_India_Index_Upto_April23 (1'!$AB302:$AD302)</f>
        <v>476.1</v>
      </c>
      <c r="M302">
        <v>162.1</v>
      </c>
    </row>
    <row r="303" spans="4:13" x14ac:dyDescent="0.3">
      <c r="D303" t="s">
        <v>30</v>
      </c>
      <c r="E303">
        <v>2021</v>
      </c>
      <c r="F303" t="s">
        <v>35</v>
      </c>
      <c r="G303">
        <f>SUM('All_India_Index_Upto_April23 (1'!$E303:$Q303)</f>
        <v>2133.9</v>
      </c>
      <c r="H303">
        <f>SUM('All_India_Index_Upto_April23 (1'!R303)</f>
        <v>190.8</v>
      </c>
      <c r="I303">
        <f>SUM('All_India_Index_Upto_April23 (1'!$S303:$U303)</f>
        <v>474.7</v>
      </c>
      <c r="J303">
        <f>SUM('All_India_Index_Upto_April23 (1'!$V303:$X303)</f>
        <v>475.1</v>
      </c>
      <c r="K303">
        <f>SUM('All_India_Index_Upto_April23 (1'!$Y303:$AA303)</f>
        <v>486.8</v>
      </c>
      <c r="L303">
        <f>SUM('All_India_Index_Upto_April23 (1'!$AB303:$AD303)</f>
        <v>463.20000000000005</v>
      </c>
      <c r="M303">
        <v>161.30000000000001</v>
      </c>
    </row>
    <row r="304" spans="4:13" x14ac:dyDescent="0.3">
      <c r="D304" t="s">
        <v>29</v>
      </c>
      <c r="E304">
        <v>2021</v>
      </c>
      <c r="F304" t="s">
        <v>35</v>
      </c>
      <c r="G304">
        <f>SUM('All_India_Index_Upto_April23 (1'!$E304:$Q304)</f>
        <v>2154.1999999999998</v>
      </c>
      <c r="H304">
        <f>SUM('All_India_Index_Upto_April23 (1'!R304)</f>
        <v>195.6</v>
      </c>
      <c r="I304">
        <f>SUM('All_India_Index_Upto_April23 (1'!$S304:$U304)</f>
        <v>452.6</v>
      </c>
      <c r="J304">
        <f>SUM('All_India_Index_Upto_April23 (1'!$V304:$X304)</f>
        <v>466.40000000000003</v>
      </c>
      <c r="K304">
        <f>SUM('All_India_Index_Upto_April23 (1'!$Y304:$AA304)</f>
        <v>476.9</v>
      </c>
      <c r="L304">
        <f>SUM('All_India_Index_Upto_April23 (1'!$AB304:$AD304)</f>
        <v>451.6</v>
      </c>
      <c r="M304">
        <v>160.4</v>
      </c>
    </row>
    <row r="305" spans="4:13" x14ac:dyDescent="0.3">
      <c r="D305" t="s">
        <v>27</v>
      </c>
      <c r="E305">
        <v>2021</v>
      </c>
      <c r="F305" t="s">
        <v>36</v>
      </c>
      <c r="G305">
        <f>SUM('All_India_Index_Upto_April23 (1'!$E305:$Q305)</f>
        <v>2132.4</v>
      </c>
      <c r="H305">
        <f>SUM('All_India_Index_Upto_April23 (1'!R305)</f>
        <v>189.7</v>
      </c>
      <c r="I305">
        <f>SUM('All_India_Index_Upto_April23 (1'!$S305:$U305)</f>
        <v>492.40000000000003</v>
      </c>
      <c r="J305">
        <f>SUM('All_India_Index_Upto_April23 (1'!$V305:$X305)</f>
        <v>484.3</v>
      </c>
      <c r="K305">
        <f>SUM('All_India_Index_Upto_April23 (1'!$Y305:$AA305)</f>
        <v>498</v>
      </c>
      <c r="L305">
        <f>SUM('All_India_Index_Upto_April23 (1'!$AB305:$AD305)</f>
        <v>480.59999999999997</v>
      </c>
      <c r="M305">
        <v>163.19999999999999</v>
      </c>
    </row>
    <row r="306" spans="4:13" x14ac:dyDescent="0.3">
      <c r="D306" t="s">
        <v>30</v>
      </c>
      <c r="E306">
        <v>2021</v>
      </c>
      <c r="F306" t="s">
        <v>36</v>
      </c>
      <c r="G306">
        <f>SUM('All_India_Index_Upto_April23 (1'!$E306:$Q306)</f>
        <v>2147</v>
      </c>
      <c r="H306">
        <f>SUM('All_India_Index_Upto_April23 (1'!R306)</f>
        <v>191.2</v>
      </c>
      <c r="I306">
        <f>SUM('All_India_Index_Upto_April23 (1'!$S306:$U306)</f>
        <v>477.29999999999995</v>
      </c>
      <c r="J306">
        <f>SUM('All_India_Index_Upto_April23 (1'!$V306:$X306)</f>
        <v>478</v>
      </c>
      <c r="K306">
        <f>SUM('All_India_Index_Upto_April23 (1'!$Y306:$AA306)</f>
        <v>490.3</v>
      </c>
      <c r="L306">
        <f>SUM('All_India_Index_Upto_April23 (1'!$AB306:$AD306)</f>
        <v>467.4</v>
      </c>
      <c r="M306">
        <v>162.5</v>
      </c>
    </row>
    <row r="307" spans="4:13" x14ac:dyDescent="0.3">
      <c r="D307" t="s">
        <v>29</v>
      </c>
      <c r="E307">
        <v>2021</v>
      </c>
      <c r="F307" t="s">
        <v>36</v>
      </c>
      <c r="G307">
        <f>SUM('All_India_Index_Upto_April23 (1'!$E307:$Q307)</f>
        <v>2171.8000000000002</v>
      </c>
      <c r="H307">
        <f>SUM('All_India_Index_Upto_April23 (1'!R307)</f>
        <v>195.5</v>
      </c>
      <c r="I307">
        <f>SUM('All_India_Index_Upto_April23 (1'!$S307:$U307)</f>
        <v>455.3</v>
      </c>
      <c r="J307">
        <f>SUM('All_India_Index_Upto_April23 (1'!$V307:$X307)</f>
        <v>469.9</v>
      </c>
      <c r="K307">
        <f>SUM('All_India_Index_Upto_April23 (1'!$Y307:$AA307)</f>
        <v>481.40000000000003</v>
      </c>
      <c r="L307">
        <f>SUM('All_India_Index_Upto_April23 (1'!$AB307:$AD307)</f>
        <v>455.7</v>
      </c>
      <c r="M307">
        <v>161.80000000000001</v>
      </c>
    </row>
    <row r="308" spans="4:13" x14ac:dyDescent="0.3">
      <c r="D308" t="s">
        <v>27</v>
      </c>
      <c r="E308">
        <v>2021</v>
      </c>
      <c r="F308" t="s">
        <v>37</v>
      </c>
      <c r="G308">
        <f>SUM('All_India_Index_Upto_April23 (1'!$E308:$Q308)</f>
        <v>2130.8000000000002</v>
      </c>
      <c r="H308">
        <f>SUM('All_India_Index_Upto_April23 (1'!R308)</f>
        <v>190.2</v>
      </c>
      <c r="I308">
        <f>SUM('All_India_Index_Upto_April23 (1'!$S308:$U308)</f>
        <v>495.90000000000003</v>
      </c>
      <c r="J308">
        <f>SUM('All_India_Index_Upto_April23 (1'!$V308:$X308)</f>
        <v>486.1</v>
      </c>
      <c r="K308">
        <f>SUM('All_India_Index_Upto_April23 (1'!$Y308:$AA308)</f>
        <v>498.9</v>
      </c>
      <c r="L308">
        <f>SUM('All_India_Index_Upto_April23 (1'!$AB308:$AD308)</f>
        <v>482.09999999999997</v>
      </c>
      <c r="M308">
        <v>163.6</v>
      </c>
    </row>
    <row r="309" spans="4:13" x14ac:dyDescent="0.3">
      <c r="D309" t="s">
        <v>30</v>
      </c>
      <c r="E309">
        <v>2021</v>
      </c>
      <c r="F309" t="s">
        <v>37</v>
      </c>
      <c r="G309">
        <f>SUM('All_India_Index_Upto_April23 (1'!$E309:$Q309)</f>
        <v>2142</v>
      </c>
      <c r="H309">
        <f>SUM('All_India_Index_Upto_April23 (1'!R309)</f>
        <v>192.1</v>
      </c>
      <c r="I309">
        <f>SUM('All_India_Index_Upto_April23 (1'!$S309:$U309)</f>
        <v>483</v>
      </c>
      <c r="J309">
        <f>SUM('All_India_Index_Upto_April23 (1'!$V309:$X309)</f>
        <v>482.2</v>
      </c>
      <c r="K309">
        <f>SUM('All_India_Index_Upto_April23 (1'!$Y309:$AA309)</f>
        <v>492.2</v>
      </c>
      <c r="L309">
        <f>SUM('All_India_Index_Upto_April23 (1'!$AB309:$AD309)</f>
        <v>471.6</v>
      </c>
      <c r="M309">
        <v>163.19999999999999</v>
      </c>
    </row>
    <row r="310" spans="4:13" x14ac:dyDescent="0.3">
      <c r="D310" t="s">
        <v>29</v>
      </c>
      <c r="E310">
        <v>2021</v>
      </c>
      <c r="F310" t="s">
        <v>37</v>
      </c>
      <c r="G310">
        <f>SUM('All_India_Index_Upto_April23 (1'!$E310:$Q310)</f>
        <v>2157.9</v>
      </c>
      <c r="H310">
        <f>SUM('All_India_Index_Upto_April23 (1'!R310)</f>
        <v>196.5</v>
      </c>
      <c r="I310">
        <f>SUM('All_India_Index_Upto_April23 (1'!$S310:$U310)</f>
        <v>460.7</v>
      </c>
      <c r="J310">
        <f>SUM('All_India_Index_Upto_April23 (1'!$V310:$X310)</f>
        <v>475.99999999999994</v>
      </c>
      <c r="K310">
        <f>SUM('All_India_Index_Upto_April23 (1'!$Y310:$AA310)</f>
        <v>482.79999999999995</v>
      </c>
      <c r="L310">
        <f>SUM('All_India_Index_Upto_April23 (1'!$AB310:$AD310)</f>
        <v>460.1</v>
      </c>
      <c r="M310">
        <v>162.30000000000001</v>
      </c>
    </row>
    <row r="311" spans="4:13" x14ac:dyDescent="0.3">
      <c r="D311" t="s">
        <v>27</v>
      </c>
      <c r="E311">
        <v>2021</v>
      </c>
      <c r="F311" t="s">
        <v>38</v>
      </c>
      <c r="G311">
        <f>SUM('All_India_Index_Upto_April23 (1'!$E311:$Q311)</f>
        <v>2133.6</v>
      </c>
      <c r="H311">
        <f>SUM('All_India_Index_Upto_April23 (1'!R311)</f>
        <v>190.5</v>
      </c>
      <c r="I311">
        <f>SUM('All_India_Index_Upto_April23 (1'!$S311:$U311)</f>
        <v>498.4</v>
      </c>
      <c r="J311">
        <f>SUM('All_India_Index_Upto_April23 (1'!$V311:$X311)</f>
        <v>487.09999999999997</v>
      </c>
      <c r="K311">
        <f>SUM('All_India_Index_Upto_April23 (1'!$Y311:$AA311)</f>
        <v>500.6</v>
      </c>
      <c r="L311">
        <f>SUM('All_India_Index_Upto_April23 (1'!$AB311:$AD311)</f>
        <v>484.3</v>
      </c>
      <c r="M311">
        <v>164</v>
      </c>
    </row>
    <row r="312" spans="4:13" x14ac:dyDescent="0.3">
      <c r="D312" t="s">
        <v>30</v>
      </c>
      <c r="E312">
        <v>2021</v>
      </c>
      <c r="F312" t="s">
        <v>38</v>
      </c>
      <c r="G312">
        <f>SUM('All_India_Index_Upto_April23 (1'!$E312:$Q312)</f>
        <v>2142</v>
      </c>
      <c r="H312">
        <f>SUM('All_India_Index_Upto_April23 (1'!R312)</f>
        <v>192.1</v>
      </c>
      <c r="I312">
        <f>SUM('All_India_Index_Upto_April23 (1'!$S312:$U312)</f>
        <v>483.2</v>
      </c>
      <c r="J312">
        <f>SUM('All_India_Index_Upto_April23 (1'!$V312:$X312)</f>
        <v>482.2</v>
      </c>
      <c r="K312">
        <f>SUM('All_India_Index_Upto_April23 (1'!$Y312:$AA312)</f>
        <v>492.09999999999997</v>
      </c>
      <c r="L312">
        <f>SUM('All_India_Index_Upto_April23 (1'!$AB312:$AD312)</f>
        <v>471.7</v>
      </c>
      <c r="M312">
        <v>163.19999999999999</v>
      </c>
    </row>
    <row r="313" spans="4:13" x14ac:dyDescent="0.3">
      <c r="D313" t="s">
        <v>29</v>
      </c>
      <c r="E313">
        <v>2021</v>
      </c>
      <c r="F313" t="s">
        <v>38</v>
      </c>
      <c r="G313">
        <f>SUM('All_India_Index_Upto_April23 (1'!$E313:$Q313)</f>
        <v>2157.9</v>
      </c>
      <c r="H313">
        <f>SUM('All_India_Index_Upto_April23 (1'!R313)</f>
        <v>196.5</v>
      </c>
      <c r="I313">
        <f>SUM('All_India_Index_Upto_April23 (1'!$S313:$U313)</f>
        <v>460.79999999999995</v>
      </c>
      <c r="J313">
        <f>SUM('All_India_Index_Upto_April23 (1'!$V313:$X313)</f>
        <v>476.2</v>
      </c>
      <c r="K313">
        <f>SUM('All_India_Index_Upto_April23 (1'!$Y313:$AA313)</f>
        <v>482.7</v>
      </c>
      <c r="L313">
        <f>SUM('All_India_Index_Upto_April23 (1'!$AB313:$AD313)</f>
        <v>460.4</v>
      </c>
      <c r="M313">
        <v>162.30000000000001</v>
      </c>
    </row>
    <row r="314" spans="4:13" x14ac:dyDescent="0.3">
      <c r="D314" t="s">
        <v>27</v>
      </c>
      <c r="E314">
        <v>2021</v>
      </c>
      <c r="F314" t="s">
        <v>39</v>
      </c>
      <c r="G314">
        <f>SUM('All_India_Index_Upto_April23 (1'!$E314:$Q314)</f>
        <v>2164.1999999999998</v>
      </c>
      <c r="H314">
        <f>SUM('All_India_Index_Upto_April23 (1'!R314)</f>
        <v>191.2</v>
      </c>
      <c r="I314">
        <f>SUM('All_India_Index_Upto_April23 (1'!$S314:$U314)</f>
        <v>502.00000000000006</v>
      </c>
      <c r="J314">
        <f>SUM('All_India_Index_Upto_April23 (1'!$V314:$X314)</f>
        <v>491.1</v>
      </c>
      <c r="K314">
        <f>SUM('All_India_Index_Upto_April23 (1'!$Y314:$AA314)</f>
        <v>502.6</v>
      </c>
      <c r="L314">
        <f>SUM('All_India_Index_Upto_April23 (1'!$AB314:$AD314)</f>
        <v>487.4</v>
      </c>
      <c r="M314">
        <v>166.3</v>
      </c>
    </row>
    <row r="315" spans="4:13" x14ac:dyDescent="0.3">
      <c r="D315" t="s">
        <v>30</v>
      </c>
      <c r="E315">
        <v>2021</v>
      </c>
      <c r="F315" t="s">
        <v>39</v>
      </c>
      <c r="G315">
        <f>SUM('All_India_Index_Upto_April23 (1'!$E315:$Q315)</f>
        <v>2175.5</v>
      </c>
      <c r="H315">
        <f>SUM('All_India_Index_Upto_April23 (1'!R315)</f>
        <v>192.7</v>
      </c>
      <c r="I315">
        <f>SUM('All_India_Index_Upto_April23 (1'!$S315:$U315)</f>
        <v>486.3</v>
      </c>
      <c r="J315">
        <f>SUM('All_India_Index_Upto_April23 (1'!$V315:$X315)</f>
        <v>486.19999999999993</v>
      </c>
      <c r="K315">
        <f>SUM('All_India_Index_Upto_April23 (1'!$Y315:$AA315)</f>
        <v>493.79999999999995</v>
      </c>
      <c r="L315">
        <f>SUM('All_India_Index_Upto_April23 (1'!$AB315:$AD315)</f>
        <v>475.29999999999995</v>
      </c>
      <c r="M315">
        <v>165.5</v>
      </c>
    </row>
    <row r="316" spans="4:13" x14ac:dyDescent="0.3">
      <c r="D316" t="s">
        <v>29</v>
      </c>
      <c r="E316">
        <v>2021</v>
      </c>
      <c r="F316" t="s">
        <v>39</v>
      </c>
      <c r="G316">
        <f>SUM('All_India_Index_Upto_April23 (1'!$E316:$Q316)</f>
        <v>2198.4000000000005</v>
      </c>
      <c r="H316">
        <f>SUM('All_India_Index_Upto_April23 (1'!R316)</f>
        <v>197</v>
      </c>
      <c r="I316">
        <f>SUM('All_India_Index_Upto_April23 (1'!$S316:$U316)</f>
        <v>463.50000000000006</v>
      </c>
      <c r="J316">
        <f>SUM('All_India_Index_Upto_April23 (1'!$V316:$X316)</f>
        <v>480.09999999999997</v>
      </c>
      <c r="K316">
        <f>SUM('All_India_Index_Upto_April23 (1'!$Y316:$AA316)</f>
        <v>484.1</v>
      </c>
      <c r="L316">
        <f>SUM('All_India_Index_Upto_April23 (1'!$AB316:$AD316)</f>
        <v>464.29999999999995</v>
      </c>
      <c r="M316">
        <v>164.6</v>
      </c>
    </row>
    <row r="317" spans="4:13" x14ac:dyDescent="0.3">
      <c r="D317" t="s">
        <v>27</v>
      </c>
      <c r="E317">
        <v>2021</v>
      </c>
      <c r="F317" t="s">
        <v>41</v>
      </c>
      <c r="G317">
        <f>SUM('All_India_Index_Upto_April23 (1'!$E317:$Q317)</f>
        <v>2182</v>
      </c>
      <c r="H317">
        <f>SUM('All_India_Index_Upto_April23 (1'!R317)</f>
        <v>191.4</v>
      </c>
      <c r="I317">
        <f>SUM('All_India_Index_Upto_April23 (1'!$S317:$U317)</f>
        <v>506.2</v>
      </c>
      <c r="J317">
        <f>SUM('All_India_Index_Upto_April23 (1'!$V317:$X317)</f>
        <v>492.4</v>
      </c>
      <c r="K317">
        <f>SUM('All_India_Index_Upto_April23 (1'!$Y317:$AA317)</f>
        <v>505.1</v>
      </c>
      <c r="L317">
        <f>SUM('All_India_Index_Upto_April23 (1'!$AB317:$AD317)</f>
        <v>487.90000000000003</v>
      </c>
      <c r="M317">
        <v>167.6</v>
      </c>
    </row>
    <row r="318" spans="4:13" x14ac:dyDescent="0.3">
      <c r="D318" t="s">
        <v>30</v>
      </c>
      <c r="E318">
        <v>2021</v>
      </c>
      <c r="F318" t="s">
        <v>41</v>
      </c>
      <c r="G318">
        <f>SUM('All_India_Index_Upto_April23 (1'!$E318:$Q318)</f>
        <v>2194.1</v>
      </c>
      <c r="H318">
        <f>SUM('All_India_Index_Upto_April23 (1'!R318)</f>
        <v>192.9</v>
      </c>
      <c r="I318">
        <f>SUM('All_India_Index_Upto_April23 (1'!$S318:$U318)</f>
        <v>490.40000000000003</v>
      </c>
      <c r="J318">
        <f>SUM('All_India_Index_Upto_April23 (1'!$V318:$X318)</f>
        <v>487.40000000000003</v>
      </c>
      <c r="K318">
        <f>SUM('All_India_Index_Upto_April23 (1'!$Y318:$AA318)</f>
        <v>496.40000000000003</v>
      </c>
      <c r="L318">
        <f>SUM('All_India_Index_Upto_April23 (1'!$AB318:$AD318)</f>
        <v>476</v>
      </c>
      <c r="M318">
        <v>166.7</v>
      </c>
    </row>
    <row r="319" spans="4:13" x14ac:dyDescent="0.3">
      <c r="D319" t="s">
        <v>29</v>
      </c>
      <c r="E319">
        <v>2021</v>
      </c>
      <c r="F319" t="s">
        <v>41</v>
      </c>
      <c r="G319">
        <f>SUM('All_India_Index_Upto_April23 (1'!$E319:$Q319)</f>
        <v>2217.8999999999996</v>
      </c>
      <c r="H319">
        <f>SUM('All_India_Index_Upto_April23 (1'!R319)</f>
        <v>197</v>
      </c>
      <c r="I319">
        <f>SUM('All_India_Index_Upto_April23 (1'!$S319:$U319)</f>
        <v>467.3</v>
      </c>
      <c r="J319">
        <f>SUM('All_India_Index_Upto_April23 (1'!$V319:$X319)</f>
        <v>480.99999999999994</v>
      </c>
      <c r="K319">
        <f>SUM('All_India_Index_Upto_April23 (1'!$Y319:$AA319)</f>
        <v>486.8</v>
      </c>
      <c r="L319">
        <f>SUM('All_India_Index_Upto_April23 (1'!$AB319:$AD319)</f>
        <v>465.2</v>
      </c>
      <c r="M319">
        <v>165.6</v>
      </c>
    </row>
    <row r="320" spans="4:13" x14ac:dyDescent="0.3">
      <c r="D320" t="s">
        <v>27</v>
      </c>
      <c r="E320">
        <v>2021</v>
      </c>
      <c r="F320" t="s">
        <v>42</v>
      </c>
      <c r="G320">
        <f>SUM('All_India_Index_Upto_April23 (1'!$E320:$Q320)</f>
        <v>2168.1999999999998</v>
      </c>
      <c r="H320">
        <f>SUM('All_India_Index_Upto_April23 (1'!R320)</f>
        <v>190.8</v>
      </c>
      <c r="I320">
        <f>SUM('All_India_Index_Upto_April23 (1'!$S320:$U320)</f>
        <v>510.3</v>
      </c>
      <c r="J320">
        <f>SUM('All_India_Index_Upto_April23 (1'!$V320:$X320)</f>
        <v>492.9</v>
      </c>
      <c r="K320">
        <f>SUM('All_India_Index_Upto_April23 (1'!$Y320:$AA320)</f>
        <v>506.5</v>
      </c>
      <c r="L320">
        <f>SUM('All_India_Index_Upto_April23 (1'!$AB320:$AD320)</f>
        <v>490.6</v>
      </c>
      <c r="M320">
        <v>167</v>
      </c>
    </row>
    <row r="321" spans="4:13" x14ac:dyDescent="0.3">
      <c r="D321" t="s">
        <v>30</v>
      </c>
      <c r="E321">
        <v>2021</v>
      </c>
      <c r="F321" t="s">
        <v>42</v>
      </c>
      <c r="G321">
        <f>SUM('All_India_Index_Upto_April23 (1'!$E321:$Q321)</f>
        <v>2180.9</v>
      </c>
      <c r="H321">
        <f>SUM('All_India_Index_Upto_April23 (1'!R321)</f>
        <v>192.4</v>
      </c>
      <c r="I321">
        <f>SUM('All_India_Index_Upto_April23 (1'!$S321:$U321)</f>
        <v>494.2</v>
      </c>
      <c r="J321">
        <f>SUM('All_India_Index_Upto_April23 (1'!$V321:$X321)</f>
        <v>487.7</v>
      </c>
      <c r="K321">
        <f>SUM('All_India_Index_Upto_April23 (1'!$Y321:$AA321)</f>
        <v>497.6</v>
      </c>
      <c r="L321">
        <f>SUM('All_India_Index_Upto_April23 (1'!$AB321:$AD321)</f>
        <v>478.29999999999995</v>
      </c>
      <c r="M321">
        <v>166.2</v>
      </c>
    </row>
    <row r="322" spans="4:13" x14ac:dyDescent="0.3">
      <c r="D322" t="s">
        <v>29</v>
      </c>
      <c r="E322">
        <v>2021</v>
      </c>
      <c r="F322" t="s">
        <v>42</v>
      </c>
      <c r="G322">
        <f>SUM('All_India_Index_Upto_April23 (1'!$E322:$Q322)</f>
        <v>2206.3000000000002</v>
      </c>
      <c r="H322">
        <f>SUM('All_India_Index_Upto_April23 (1'!R322)</f>
        <v>196.8</v>
      </c>
      <c r="I322">
        <f>SUM('All_India_Index_Upto_April23 (1'!$S322:$U322)</f>
        <v>470.7</v>
      </c>
      <c r="J322">
        <f>SUM('All_India_Index_Upto_April23 (1'!$V322:$X322)</f>
        <v>481.1</v>
      </c>
      <c r="K322">
        <f>SUM('All_India_Index_Upto_April23 (1'!$Y322:$AA322)</f>
        <v>488.1</v>
      </c>
      <c r="L322">
        <f>SUM('All_India_Index_Upto_April23 (1'!$AB322:$AD322)</f>
        <v>467.2</v>
      </c>
      <c r="M322">
        <v>165.2</v>
      </c>
    </row>
    <row r="323" spans="4:13" x14ac:dyDescent="0.3">
      <c r="D323" t="s">
        <v>27</v>
      </c>
      <c r="E323">
        <v>2022</v>
      </c>
      <c r="F323" t="s">
        <v>28</v>
      </c>
      <c r="G323">
        <f>SUM('All_India_Index_Upto_April23 (1'!$E323:$Q323)</f>
        <v>2153</v>
      </c>
      <c r="H323">
        <f>SUM('All_India_Index_Upto_April23 (1'!R323)</f>
        <v>190.7</v>
      </c>
      <c r="I323">
        <f>SUM('All_India_Index_Upto_April23 (1'!$S323:$U323)</f>
        <v>515.20000000000005</v>
      </c>
      <c r="J323">
        <f>SUM('All_India_Index_Upto_April23 (1'!$V323:$X323)</f>
        <v>495.20000000000005</v>
      </c>
      <c r="K323">
        <f>SUM('All_India_Index_Upto_April23 (1'!$Y323:$AA323)</f>
        <v>507.79999999999995</v>
      </c>
      <c r="L323">
        <f>SUM('All_India_Index_Upto_April23 (1'!$AB323:$AD323)</f>
        <v>492.30000000000007</v>
      </c>
      <c r="M323">
        <v>166.4</v>
      </c>
    </row>
    <row r="324" spans="4:13" x14ac:dyDescent="0.3">
      <c r="D324" t="s">
        <v>30</v>
      </c>
      <c r="E324">
        <v>2022</v>
      </c>
      <c r="F324" t="s">
        <v>28</v>
      </c>
      <c r="G324">
        <f>SUM('All_India_Index_Upto_April23 (1'!$E324:$Q324)</f>
        <v>2164.1999999999998</v>
      </c>
      <c r="H324">
        <f>SUM('All_India_Index_Upto_April23 (1'!R324)</f>
        <v>192.2</v>
      </c>
      <c r="I324">
        <f>SUM('All_India_Index_Upto_April23 (1'!$S324:$U324)</f>
        <v>499.1</v>
      </c>
      <c r="J324">
        <f>SUM('All_India_Index_Upto_April23 (1'!$V324:$X324)</f>
        <v>489.79999999999995</v>
      </c>
      <c r="K324">
        <f>SUM('All_India_Index_Upto_April23 (1'!$Y324:$AA324)</f>
        <v>499.09999999999997</v>
      </c>
      <c r="L324">
        <f>SUM('All_India_Index_Upto_April23 (1'!$AB324:$AD324)</f>
        <v>480.4</v>
      </c>
      <c r="M324">
        <v>165.7</v>
      </c>
    </row>
    <row r="325" spans="4:13" x14ac:dyDescent="0.3">
      <c r="D325" t="s">
        <v>29</v>
      </c>
      <c r="E325">
        <v>2022</v>
      </c>
      <c r="F325" t="s">
        <v>28</v>
      </c>
      <c r="G325">
        <f>SUM('All_India_Index_Upto_April23 (1'!$E325:$Q325)</f>
        <v>2186.6999999999998</v>
      </c>
      <c r="H325">
        <f>SUM('All_India_Index_Upto_April23 (1'!R325)</f>
        <v>196.4</v>
      </c>
      <c r="I325">
        <f>SUM('All_India_Index_Upto_April23 (1'!$S325:$U325)</f>
        <v>475.4</v>
      </c>
      <c r="J325">
        <f>SUM('All_India_Index_Upto_April23 (1'!$V325:$X325)</f>
        <v>482.90000000000003</v>
      </c>
      <c r="K325">
        <f>SUM('All_India_Index_Upto_April23 (1'!$Y325:$AA325)</f>
        <v>489.9</v>
      </c>
      <c r="L325">
        <f>SUM('All_India_Index_Upto_April23 (1'!$AB325:$AD325)</f>
        <v>469.70000000000005</v>
      </c>
      <c r="M325">
        <v>165</v>
      </c>
    </row>
    <row r="326" spans="4:13" x14ac:dyDescent="0.3">
      <c r="D326" t="s">
        <v>27</v>
      </c>
      <c r="E326">
        <v>2022</v>
      </c>
      <c r="F326" t="s">
        <v>31</v>
      </c>
      <c r="G326">
        <f>SUM('All_India_Index_Upto_April23 (1'!$E326:$Q326)</f>
        <v>2150.4</v>
      </c>
      <c r="H326">
        <f>SUM('All_India_Index_Upto_April23 (1'!R326)</f>
        <v>191.5</v>
      </c>
      <c r="I326">
        <f>SUM('All_India_Index_Upto_April23 (1'!$S326:$U326)</f>
        <v>518.79999999999995</v>
      </c>
      <c r="J326">
        <f>SUM('All_India_Index_Upto_April23 (1'!$V326:$X326)</f>
        <v>498.59999999999997</v>
      </c>
      <c r="K326">
        <f>SUM('All_India_Index_Upto_April23 (1'!$Y326:$AA326)</f>
        <v>510.1</v>
      </c>
      <c r="L326">
        <f>SUM('All_India_Index_Upto_April23 (1'!$AB326:$AD326)</f>
        <v>494</v>
      </c>
      <c r="M326">
        <v>166.7</v>
      </c>
    </row>
    <row r="327" spans="4:13" x14ac:dyDescent="0.3">
      <c r="D327" t="s">
        <v>30</v>
      </c>
      <c r="E327">
        <v>2022</v>
      </c>
      <c r="F327" t="s">
        <v>31</v>
      </c>
      <c r="G327">
        <f>SUM('All_India_Index_Upto_April23 (1'!$E327:$Q327)</f>
        <v>2161.2000000000003</v>
      </c>
      <c r="H327">
        <f>SUM('All_India_Index_Upto_April23 (1'!R327)</f>
        <v>192.8</v>
      </c>
      <c r="I327">
        <f>SUM('All_India_Index_Upto_April23 (1'!$S327:$U327)</f>
        <v>502.80000000000007</v>
      </c>
      <c r="J327">
        <f>SUM('All_India_Index_Upto_April23 (1'!$V327:$X327)</f>
        <v>493</v>
      </c>
      <c r="K327">
        <f>SUM('All_India_Index_Upto_April23 (1'!$Y327:$AA327)</f>
        <v>502</v>
      </c>
      <c r="L327">
        <f>SUM('All_India_Index_Upto_April23 (1'!$AB327:$AD327)</f>
        <v>482.5</v>
      </c>
      <c r="M327">
        <v>166.1</v>
      </c>
    </row>
    <row r="328" spans="4:13" x14ac:dyDescent="0.3">
      <c r="D328" t="s">
        <v>29</v>
      </c>
      <c r="E328">
        <v>2022</v>
      </c>
      <c r="F328" t="s">
        <v>31</v>
      </c>
      <c r="G328">
        <f>SUM('All_India_Index_Upto_April23 (1'!$E328:$Q328)</f>
        <v>2183.5</v>
      </c>
      <c r="H328">
        <f>SUM('All_India_Index_Upto_April23 (1'!R328)</f>
        <v>196.5</v>
      </c>
      <c r="I328">
        <f>SUM('All_India_Index_Upto_April23 (1'!$S328:$U328)</f>
        <v>479.5</v>
      </c>
      <c r="J328">
        <f>SUM('All_India_Index_Upto_April23 (1'!$V328:$X328)</f>
        <v>485.9</v>
      </c>
      <c r="K328">
        <f>SUM('All_India_Index_Upto_April23 (1'!$Y328:$AA328)</f>
        <v>493.4</v>
      </c>
      <c r="L328">
        <f>SUM('All_India_Index_Upto_April23 (1'!$AB328:$AD328)</f>
        <v>472</v>
      </c>
      <c r="M328">
        <v>165.5</v>
      </c>
    </row>
    <row r="329" spans="4:13" x14ac:dyDescent="0.3">
      <c r="D329" t="s">
        <v>27</v>
      </c>
      <c r="E329">
        <v>2022</v>
      </c>
      <c r="F329" t="s">
        <v>32</v>
      </c>
      <c r="G329">
        <f>SUM('All_India_Index_Upto_April23 (1'!$E329:$Q329)</f>
        <v>2179.1000000000004</v>
      </c>
      <c r="H329">
        <f>SUM('All_India_Index_Upto_April23 (1'!R329)</f>
        <v>192.3</v>
      </c>
      <c r="I329">
        <f>SUM('All_India_Index_Upto_April23 (1'!$S329:$U329)</f>
        <v>523.70000000000005</v>
      </c>
      <c r="J329">
        <f>SUM('All_India_Index_Upto_April23 (1'!$V329:$X329)</f>
        <v>500.70000000000005</v>
      </c>
      <c r="K329">
        <f>SUM('All_India_Index_Upto_April23 (1'!$Y329:$AA329)</f>
        <v>514</v>
      </c>
      <c r="L329">
        <f>SUM('All_India_Index_Upto_April23 (1'!$AB329:$AD329)</f>
        <v>496.90000000000003</v>
      </c>
      <c r="M329">
        <v>168.7</v>
      </c>
    </row>
    <row r="330" spans="4:13" x14ac:dyDescent="0.3">
      <c r="D330" t="s">
        <v>30</v>
      </c>
      <c r="E330">
        <v>2022</v>
      </c>
      <c r="F330" t="s">
        <v>32</v>
      </c>
      <c r="G330">
        <f>SUM('All_India_Index_Upto_April23 (1'!$E330:$Q330)</f>
        <v>2184.2000000000003</v>
      </c>
      <c r="H330">
        <f>SUM('All_India_Index_Upto_April23 (1'!R330)</f>
        <v>193.7</v>
      </c>
      <c r="I330">
        <f>SUM('All_India_Index_Upto_April23 (1'!$S330:$U330)</f>
        <v>507.79999999999995</v>
      </c>
      <c r="J330">
        <f>SUM('All_India_Index_Upto_April23 (1'!$V330:$X330)</f>
        <v>495.3</v>
      </c>
      <c r="K330">
        <f>SUM('All_India_Index_Upto_April23 (1'!$Y330:$AA330)</f>
        <v>506.2</v>
      </c>
      <c r="L330">
        <f>SUM('All_India_Index_Upto_April23 (1'!$AB330:$AD330)</f>
        <v>485.80000000000007</v>
      </c>
      <c r="M330">
        <v>167.7</v>
      </c>
    </row>
    <row r="331" spans="4:13" x14ac:dyDescent="0.3">
      <c r="D331" t="s">
        <v>29</v>
      </c>
      <c r="E331">
        <v>2022</v>
      </c>
      <c r="F331" t="s">
        <v>32</v>
      </c>
      <c r="G331">
        <f>SUM('All_India_Index_Upto_April23 (1'!$E331:$Q331)</f>
        <v>2196.3000000000002</v>
      </c>
      <c r="H331">
        <f>SUM('All_India_Index_Upto_April23 (1'!R331)</f>
        <v>197.5</v>
      </c>
      <c r="I331">
        <f>SUM('All_India_Index_Upto_April23 (1'!$S331:$U331)</f>
        <v>484.6</v>
      </c>
      <c r="J331">
        <f>SUM('All_India_Index_Upto_April23 (1'!$V331:$X331)</f>
        <v>488.4</v>
      </c>
      <c r="K331">
        <f>SUM('All_India_Index_Upto_April23 (1'!$Y331:$AA331)</f>
        <v>497.7</v>
      </c>
      <c r="L331">
        <f>SUM('All_India_Index_Upto_April23 (1'!$AB331:$AD331)</f>
        <v>475.6</v>
      </c>
      <c r="M331">
        <v>166.5</v>
      </c>
    </row>
    <row r="332" spans="4:13" x14ac:dyDescent="0.3">
      <c r="D332" t="s">
        <v>27</v>
      </c>
      <c r="E332">
        <v>2022</v>
      </c>
      <c r="F332" t="s">
        <v>33</v>
      </c>
      <c r="G332">
        <f>SUM('All_India_Index_Upto_April23 (1'!$E332:$Q332)</f>
        <v>2206.6</v>
      </c>
      <c r="H332">
        <f>SUM('All_India_Index_Upto_April23 (1'!R332)</f>
        <v>192.8</v>
      </c>
      <c r="I332">
        <f>SUM('All_India_Index_Upto_April23 (1'!$S332:$U332)</f>
        <v>529.70000000000005</v>
      </c>
      <c r="J332">
        <f>SUM('All_India_Index_Upto_April23 (1'!$V332:$X332)</f>
        <v>508</v>
      </c>
      <c r="K332">
        <f>SUM('All_India_Index_Upto_April23 (1'!$Y332:$AA332)</f>
        <v>516.9</v>
      </c>
      <c r="L332">
        <f>SUM('All_India_Index_Upto_April23 (1'!$AB332:$AD332)</f>
        <v>503.59999999999997</v>
      </c>
      <c r="M332">
        <v>170.8</v>
      </c>
    </row>
    <row r="333" spans="4:13" x14ac:dyDescent="0.3">
      <c r="D333" t="s">
        <v>30</v>
      </c>
      <c r="E333">
        <v>2022</v>
      </c>
      <c r="F333" t="s">
        <v>33</v>
      </c>
      <c r="G333">
        <f>SUM('All_India_Index_Upto_April23 (1'!$E333:$Q333)</f>
        <v>2214.3000000000002</v>
      </c>
      <c r="H333">
        <f>SUM('All_India_Index_Upto_April23 (1'!R333)</f>
        <v>193.9</v>
      </c>
      <c r="I333">
        <f>SUM('All_India_Index_Upto_April23 (1'!$S333:$U333)</f>
        <v>513.20000000000005</v>
      </c>
      <c r="J333">
        <f>SUM('All_India_Index_Upto_April23 (1'!$V333:$X333)</f>
        <v>503.2</v>
      </c>
      <c r="K333">
        <f>SUM('All_India_Index_Upto_April23 (1'!$Y333:$AA333)</f>
        <v>509.70000000000005</v>
      </c>
      <c r="L333">
        <f>SUM('All_India_Index_Upto_April23 (1'!$AB333:$AD333)</f>
        <v>493.8</v>
      </c>
      <c r="M333">
        <v>170.1</v>
      </c>
    </row>
    <row r="334" spans="4:13" x14ac:dyDescent="0.3">
      <c r="D334" t="s">
        <v>29</v>
      </c>
      <c r="E334">
        <v>2022</v>
      </c>
      <c r="F334" t="s">
        <v>33</v>
      </c>
      <c r="G334">
        <f>SUM('All_India_Index_Upto_April23 (1'!$E334:$Q334)</f>
        <v>2230.4</v>
      </c>
      <c r="H334">
        <f>SUM('All_India_Index_Upto_April23 (1'!R334)</f>
        <v>197.1</v>
      </c>
      <c r="I334">
        <f>SUM('All_India_Index_Upto_April23 (1'!$S334:$U334)</f>
        <v>489.2</v>
      </c>
      <c r="J334">
        <f>SUM('All_India_Index_Upto_April23 (1'!$V334:$X334)</f>
        <v>497.3</v>
      </c>
      <c r="K334">
        <f>SUM('All_India_Index_Upto_April23 (1'!$Y334:$AA334)</f>
        <v>501.4</v>
      </c>
      <c r="L334">
        <f>SUM('All_India_Index_Upto_April23 (1'!$AB334:$AD334)</f>
        <v>484.6</v>
      </c>
      <c r="M334">
        <v>169.2</v>
      </c>
    </row>
    <row r="335" spans="4:13" x14ac:dyDescent="0.3">
      <c r="D335" t="s">
        <v>27</v>
      </c>
      <c r="E335">
        <v>2022</v>
      </c>
      <c r="F335" t="s">
        <v>34</v>
      </c>
      <c r="G335">
        <f>SUM('All_India_Index_Upto_April23 (1'!$E335:$Q335)</f>
        <v>2226.8000000000002</v>
      </c>
      <c r="H335">
        <f>SUM('All_India_Index_Upto_April23 (1'!R335)</f>
        <v>192.9</v>
      </c>
      <c r="I335">
        <f>SUM('All_India_Index_Upto_April23 (1'!$S335:$U335)</f>
        <v>535.5</v>
      </c>
      <c r="J335">
        <f>SUM('All_India_Index_Upto_April23 (1'!$V335:$X335)</f>
        <v>511.70000000000005</v>
      </c>
      <c r="K335">
        <f>SUM('All_India_Index_Upto_April23 (1'!$Y335:$AA335)</f>
        <v>518</v>
      </c>
      <c r="L335">
        <f>SUM('All_India_Index_Upto_April23 (1'!$AB335:$AD335)</f>
        <v>505.6</v>
      </c>
      <c r="M335">
        <v>172.5</v>
      </c>
    </row>
    <row r="336" spans="4:13" x14ac:dyDescent="0.3">
      <c r="D336" t="s">
        <v>30</v>
      </c>
      <c r="E336">
        <v>2022</v>
      </c>
      <c r="F336" t="s">
        <v>34</v>
      </c>
      <c r="G336">
        <f>SUM('All_India_Index_Upto_April23 (1'!$E336:$Q336)</f>
        <v>2238.9000000000005</v>
      </c>
      <c r="H336">
        <f>SUM('All_India_Index_Upto_April23 (1'!R336)</f>
        <v>194.1</v>
      </c>
      <c r="I336">
        <f>SUM('All_India_Index_Upto_April23 (1'!$S336:$U336)</f>
        <v>518.6</v>
      </c>
      <c r="J336">
        <f>SUM('All_India_Index_Upto_April23 (1'!$V336:$X336)</f>
        <v>507.3</v>
      </c>
      <c r="K336">
        <f>SUM('All_India_Index_Upto_April23 (1'!$Y336:$AA336)</f>
        <v>511.1</v>
      </c>
      <c r="L336">
        <f>SUM('All_India_Index_Upto_April23 (1'!$AB336:$AD336)</f>
        <v>495.6</v>
      </c>
      <c r="M336">
        <v>171.7</v>
      </c>
    </row>
    <row r="337" spans="4:13" x14ac:dyDescent="0.3">
      <c r="D337" t="s">
        <v>29</v>
      </c>
      <c r="E337">
        <v>2022</v>
      </c>
      <c r="F337" t="s">
        <v>34</v>
      </c>
      <c r="G337">
        <f>SUM('All_India_Index_Upto_April23 (1'!$E337:$Q337)</f>
        <v>2262.2000000000003</v>
      </c>
      <c r="H337">
        <f>SUM('All_India_Index_Upto_April23 (1'!R337)</f>
        <v>197.5</v>
      </c>
      <c r="I337">
        <f>SUM('All_India_Index_Upto_April23 (1'!$S337:$U337)</f>
        <v>493.7</v>
      </c>
      <c r="J337">
        <f>SUM('All_India_Index_Upto_April23 (1'!$V337:$X337)</f>
        <v>502.1</v>
      </c>
      <c r="K337">
        <f>SUM('All_India_Index_Upto_April23 (1'!$Y337:$AA337)</f>
        <v>503.49999999999994</v>
      </c>
      <c r="L337">
        <f>SUM('All_India_Index_Upto_April23 (1'!$AB337:$AD337)</f>
        <v>486.40000000000003</v>
      </c>
      <c r="M337">
        <v>170.8</v>
      </c>
    </row>
    <row r="338" spans="4:13" x14ac:dyDescent="0.3">
      <c r="D338" t="s">
        <v>27</v>
      </c>
      <c r="E338">
        <v>2022</v>
      </c>
      <c r="F338" t="s">
        <v>35</v>
      </c>
      <c r="G338">
        <f>SUM('All_India_Index_Upto_April23 (1'!$E338:$Q338)</f>
        <v>2248.3000000000002</v>
      </c>
      <c r="H338">
        <f>SUM('All_India_Index_Upto_April23 (1'!R338)</f>
        <v>192.9</v>
      </c>
      <c r="I338">
        <f>SUM('All_India_Index_Upto_April23 (1'!$S338:$U338)</f>
        <v>539.79999999999995</v>
      </c>
      <c r="J338">
        <f>SUM('All_India_Index_Upto_April23 (1'!$V338:$X338)</f>
        <v>513.79999999999995</v>
      </c>
      <c r="K338">
        <f>SUM('All_India_Index_Upto_April23 (1'!$Y338:$AA338)</f>
        <v>520.29999999999995</v>
      </c>
      <c r="L338">
        <f>SUM('All_India_Index_Upto_April23 (1'!$AB338:$AD338)</f>
        <v>504.5</v>
      </c>
      <c r="M338">
        <v>173.6</v>
      </c>
    </row>
    <row r="339" spans="4:13" x14ac:dyDescent="0.3">
      <c r="D339" t="s">
        <v>30</v>
      </c>
      <c r="E339">
        <v>2022</v>
      </c>
      <c r="F339" t="s">
        <v>35</v>
      </c>
      <c r="G339">
        <f>SUM('All_India_Index_Upto_April23 (1'!$E339:$Q339)</f>
        <v>2261.9</v>
      </c>
      <c r="H339">
        <f>SUM('All_India_Index_Upto_April23 (1'!R339)</f>
        <v>194.3</v>
      </c>
      <c r="I339">
        <f>SUM('All_India_Index_Upto_April23 (1'!$S339:$U339)</f>
        <v>523</v>
      </c>
      <c r="J339">
        <f>SUM('All_India_Index_Upto_April23 (1'!$V339:$X339)</f>
        <v>509.20000000000005</v>
      </c>
      <c r="K339">
        <f>SUM('All_India_Index_Upto_April23 (1'!$Y339:$AA339)</f>
        <v>513.79999999999995</v>
      </c>
      <c r="L339">
        <f>SUM('All_India_Index_Upto_April23 (1'!$AB339:$AD339)</f>
        <v>494.4</v>
      </c>
      <c r="M339">
        <v>172.6</v>
      </c>
    </row>
    <row r="340" spans="4:13" x14ac:dyDescent="0.3">
      <c r="D340" t="s">
        <v>29</v>
      </c>
      <c r="E340">
        <v>2022</v>
      </c>
      <c r="F340" t="s">
        <v>35</v>
      </c>
      <c r="G340">
        <f>SUM('All_India_Index_Upto_April23 (1'!$E340:$Q340)</f>
        <v>2287.5</v>
      </c>
      <c r="H340">
        <f>SUM('All_India_Index_Upto_April23 (1'!R340)</f>
        <v>198.3</v>
      </c>
      <c r="I340">
        <f>SUM('All_India_Index_Upto_April23 (1'!$S340:$U340)</f>
        <v>498.4</v>
      </c>
      <c r="J340">
        <f>SUM('All_India_Index_Upto_April23 (1'!$V340:$X340)</f>
        <v>503.80000000000007</v>
      </c>
      <c r="K340">
        <f>SUM('All_India_Index_Upto_April23 (1'!$Y340:$AA340)</f>
        <v>506.6</v>
      </c>
      <c r="L340">
        <f>SUM('All_India_Index_Upto_April23 (1'!$AB340:$AD340)</f>
        <v>485.09999999999997</v>
      </c>
      <c r="M340">
        <v>171.4</v>
      </c>
    </row>
    <row r="341" spans="4:13" x14ac:dyDescent="0.3">
      <c r="D341" t="s">
        <v>27</v>
      </c>
      <c r="E341">
        <v>2022</v>
      </c>
      <c r="F341" t="s">
        <v>36</v>
      </c>
      <c r="G341">
        <f>SUM('All_India_Index_Upto_April23 (1'!$E341:$Q341)</f>
        <v>2252.5</v>
      </c>
      <c r="H341">
        <f>SUM('All_India_Index_Upto_April23 (1'!R341)</f>
        <v>193.2</v>
      </c>
      <c r="I341">
        <f>SUM('All_India_Index_Upto_April23 (1'!$S341:$U341)</f>
        <v>544</v>
      </c>
      <c r="J341">
        <f>SUM('All_India_Index_Upto_April23 (1'!$V341:$X341)</f>
        <v>518.70000000000005</v>
      </c>
      <c r="K341">
        <f>SUM('All_India_Index_Upto_April23 (1'!$Y341:$AA341)</f>
        <v>523.20000000000005</v>
      </c>
      <c r="L341">
        <f>SUM('All_India_Index_Upto_April23 (1'!$AB341:$AD341)</f>
        <v>506.7</v>
      </c>
      <c r="M341">
        <v>174.3</v>
      </c>
    </row>
    <row r="342" spans="4:13" x14ac:dyDescent="0.3">
      <c r="D342" t="s">
        <v>30</v>
      </c>
      <c r="E342">
        <v>2022</v>
      </c>
      <c r="F342" t="s">
        <v>36</v>
      </c>
      <c r="G342">
        <f>SUM('All_India_Index_Upto_April23 (1'!$E342:$Q342)</f>
        <v>2266.3000000000002</v>
      </c>
      <c r="H342">
        <f>SUM('All_India_Index_Upto_April23 (1'!R342)</f>
        <v>194.6</v>
      </c>
      <c r="I342">
        <f>SUM('All_India_Index_Upto_April23 (1'!$S342:$U342)</f>
        <v>526.90000000000009</v>
      </c>
      <c r="J342">
        <f>SUM('All_India_Index_Upto_April23 (1'!$V342:$X342)</f>
        <v>514.79999999999995</v>
      </c>
      <c r="K342">
        <f>SUM('All_India_Index_Upto_April23 (1'!$Y342:$AA342)</f>
        <v>517.19999999999993</v>
      </c>
      <c r="L342">
        <f>SUM('All_India_Index_Upto_April23 (1'!$AB342:$AD342)</f>
        <v>496.29999999999995</v>
      </c>
      <c r="M342">
        <v>173.4</v>
      </c>
    </row>
    <row r="343" spans="4:13" x14ac:dyDescent="0.3">
      <c r="D343" t="s">
        <v>29</v>
      </c>
      <c r="E343">
        <v>2022</v>
      </c>
      <c r="F343" t="s">
        <v>36</v>
      </c>
      <c r="G343">
        <f>SUM('All_India_Index_Upto_April23 (1'!$E343:$Q343)</f>
        <v>2291.6</v>
      </c>
      <c r="H343">
        <f>SUM('All_India_Index_Upto_April23 (1'!R343)</f>
        <v>198.6</v>
      </c>
      <c r="I343">
        <f>SUM('All_India_Index_Upto_April23 (1'!$S343:$U343)</f>
        <v>502</v>
      </c>
      <c r="J343">
        <f>SUM('All_India_Index_Upto_April23 (1'!$V343:$X343)</f>
        <v>510.4</v>
      </c>
      <c r="K343">
        <f>SUM('All_India_Index_Upto_April23 (1'!$Y343:$AA343)</f>
        <v>510.6</v>
      </c>
      <c r="L343">
        <f>SUM('All_India_Index_Upto_April23 (1'!$AB343:$AD343)</f>
        <v>486.7</v>
      </c>
      <c r="M343">
        <v>172.3</v>
      </c>
    </row>
    <row r="344" spans="4:13" x14ac:dyDescent="0.3">
      <c r="D344" t="s">
        <v>27</v>
      </c>
      <c r="E344">
        <v>2022</v>
      </c>
      <c r="F344" t="s">
        <v>37</v>
      </c>
      <c r="G344">
        <f>SUM('All_India_Index_Upto_April23 (1'!$E344:$Q344)</f>
        <v>2255.7999999999997</v>
      </c>
      <c r="H344">
        <f>SUM('All_India_Index_Upto_April23 (1'!R344)</f>
        <v>193.7</v>
      </c>
      <c r="I344">
        <f>SUM('All_India_Index_Upto_April23 (1'!$S344:$U344)</f>
        <v>547.9</v>
      </c>
      <c r="J344">
        <f>SUM('All_India_Index_Upto_April23 (1'!$V344:$X344)</f>
        <v>520.40000000000009</v>
      </c>
      <c r="K344">
        <f>SUM('All_India_Index_Upto_April23 (1'!$Y344:$AA344)</f>
        <v>526.20000000000005</v>
      </c>
      <c r="L344">
        <f>SUM('All_India_Index_Upto_April23 (1'!$AB344:$AD344)</f>
        <v>508.5</v>
      </c>
      <c r="M344">
        <v>175.3</v>
      </c>
    </row>
    <row r="345" spans="4:13" x14ac:dyDescent="0.3">
      <c r="D345" t="s">
        <v>30</v>
      </c>
      <c r="E345">
        <v>2022</v>
      </c>
      <c r="F345" t="s">
        <v>37</v>
      </c>
      <c r="G345">
        <f>SUM('All_India_Index_Upto_April23 (1'!$E345:$Q345)</f>
        <v>2269.2000000000003</v>
      </c>
      <c r="H345">
        <f>SUM('All_India_Index_Upto_April23 (1'!R345)</f>
        <v>195</v>
      </c>
      <c r="I345">
        <f>SUM('All_India_Index_Upto_April23 (1'!$S345:$U345)</f>
        <v>530.70000000000005</v>
      </c>
      <c r="J345">
        <f>SUM('All_India_Index_Upto_April23 (1'!$V345:$X345)</f>
        <v>516.29999999999995</v>
      </c>
      <c r="K345">
        <f>SUM('All_India_Index_Upto_April23 (1'!$Y345:$AA345)</f>
        <v>520.29999999999995</v>
      </c>
      <c r="L345">
        <f>SUM('All_India_Index_Upto_April23 (1'!$AB345:$AD345)</f>
        <v>497.9</v>
      </c>
      <c r="M345">
        <v>174.3</v>
      </c>
    </row>
    <row r="346" spans="4:13" x14ac:dyDescent="0.3">
      <c r="D346" t="s">
        <v>29</v>
      </c>
      <c r="E346">
        <v>2022</v>
      </c>
      <c r="F346" t="s">
        <v>37</v>
      </c>
      <c r="G346">
        <f>SUM('All_India_Index_Upto_April23 (1'!$E346:$Q346)</f>
        <v>2293.6999999999998</v>
      </c>
      <c r="H346">
        <f>SUM('All_India_Index_Upto_April23 (1'!R346)</f>
        <v>198.7</v>
      </c>
      <c r="I346">
        <f>SUM('All_India_Index_Upto_April23 (1'!$S346:$U346)</f>
        <v>505.29999999999995</v>
      </c>
      <c r="J346">
        <f>SUM('All_India_Index_Upto_April23 (1'!$V346:$X346)</f>
        <v>511.59999999999997</v>
      </c>
      <c r="K346">
        <f>SUM('All_India_Index_Upto_April23 (1'!$Y346:$AA346)</f>
        <v>513.9</v>
      </c>
      <c r="L346">
        <f>SUM('All_India_Index_Upto_April23 (1'!$AB346:$AD346)</f>
        <v>488.19999999999993</v>
      </c>
      <c r="M346">
        <v>173.1</v>
      </c>
    </row>
    <row r="347" spans="4:13" x14ac:dyDescent="0.3">
      <c r="D347" t="s">
        <v>27</v>
      </c>
      <c r="E347">
        <v>2022</v>
      </c>
      <c r="F347" t="s">
        <v>38</v>
      </c>
      <c r="G347">
        <f>SUM('All_India_Index_Upto_April23 (1'!$E347:$Q347)</f>
        <v>2267.8000000000002</v>
      </c>
      <c r="H347">
        <f>SUM('All_India_Index_Upto_April23 (1'!R347)</f>
        <v>194.5</v>
      </c>
      <c r="I347">
        <f>SUM('All_India_Index_Upto_April23 (1'!$S347:$U347)</f>
        <v>552.5</v>
      </c>
      <c r="J347">
        <f>SUM('All_India_Index_Upto_April23 (1'!$V347:$X347)</f>
        <v>522.79999999999995</v>
      </c>
      <c r="K347">
        <f>SUM('All_India_Index_Upto_April23 (1'!$Y347:$AA347)</f>
        <v>527.20000000000005</v>
      </c>
      <c r="L347">
        <f>SUM('All_India_Index_Upto_April23 (1'!$AB347:$AD347)</f>
        <v>510</v>
      </c>
      <c r="M347">
        <v>176.4</v>
      </c>
    </row>
    <row r="348" spans="4:13" x14ac:dyDescent="0.3">
      <c r="D348" t="s">
        <v>30</v>
      </c>
      <c r="E348">
        <v>2022</v>
      </c>
      <c r="F348" t="s">
        <v>38</v>
      </c>
      <c r="G348">
        <f>SUM('All_India_Index_Upto_April23 (1'!$E348:$Q348)</f>
        <v>2280.9</v>
      </c>
      <c r="H348">
        <f>SUM('All_India_Index_Upto_April23 (1'!R348)</f>
        <v>195.9</v>
      </c>
      <c r="I348">
        <f>SUM('All_India_Index_Upto_April23 (1'!$S348:$U348)</f>
        <v>535.1</v>
      </c>
      <c r="J348">
        <f>SUM('All_India_Index_Upto_April23 (1'!$V348:$X348)</f>
        <v>518.5</v>
      </c>
      <c r="K348">
        <f>SUM('All_India_Index_Upto_April23 (1'!$Y348:$AA348)</f>
        <v>521.80000000000007</v>
      </c>
      <c r="L348">
        <f>SUM('All_India_Index_Upto_April23 (1'!$AB348:$AD348)</f>
        <v>499.59999999999997</v>
      </c>
      <c r="M348">
        <v>175.3</v>
      </c>
    </row>
    <row r="349" spans="4:13" x14ac:dyDescent="0.3">
      <c r="D349" t="s">
        <v>29</v>
      </c>
      <c r="E349">
        <v>2022</v>
      </c>
      <c r="F349" t="s">
        <v>38</v>
      </c>
      <c r="G349">
        <f>SUM('All_India_Index_Upto_April23 (1'!$E349:$Q349)</f>
        <v>2306.4</v>
      </c>
      <c r="H349">
        <f>SUM('All_India_Index_Upto_April23 (1'!R349)</f>
        <v>199.7</v>
      </c>
      <c r="I349">
        <f>SUM('All_India_Index_Upto_April23 (1'!$S349:$U349)</f>
        <v>509.7</v>
      </c>
      <c r="J349">
        <f>SUM('All_India_Index_Upto_April23 (1'!$V349:$X349)</f>
        <v>513.70000000000005</v>
      </c>
      <c r="K349">
        <f>SUM('All_India_Index_Upto_April23 (1'!$Y349:$AA349)</f>
        <v>515.79999999999995</v>
      </c>
      <c r="L349">
        <f>SUM('All_India_Index_Upto_April23 (1'!$AB349:$AD349)</f>
        <v>490.1</v>
      </c>
      <c r="M349">
        <v>174.1</v>
      </c>
    </row>
    <row r="350" spans="4:13" x14ac:dyDescent="0.3">
      <c r="D350" t="s">
        <v>27</v>
      </c>
      <c r="E350">
        <v>2022</v>
      </c>
      <c r="F350" t="s">
        <v>39</v>
      </c>
      <c r="G350">
        <f>SUM('All_India_Index_Upto_April23 (1'!$E350:$Q350)</f>
        <v>2284.5</v>
      </c>
      <c r="H350">
        <f>SUM('All_India_Index_Upto_April23 (1'!R350)</f>
        <v>194.9</v>
      </c>
      <c r="I350">
        <f>SUM('All_India_Index_Upto_April23 (1'!$S350:$U350)</f>
        <v>556.4</v>
      </c>
      <c r="J350">
        <f>SUM('All_India_Index_Upto_April23 (1'!$V350:$X350)</f>
        <v>526.4</v>
      </c>
      <c r="K350">
        <f>SUM('All_India_Index_Upto_April23 (1'!$Y350:$AA350)</f>
        <v>529.70000000000005</v>
      </c>
      <c r="L350">
        <f>SUM('All_India_Index_Upto_April23 (1'!$AB350:$AD350)</f>
        <v>511.9</v>
      </c>
      <c r="M350">
        <v>177.9</v>
      </c>
    </row>
    <row r="351" spans="4:13" x14ac:dyDescent="0.3">
      <c r="D351" t="s">
        <v>30</v>
      </c>
      <c r="E351">
        <v>2022</v>
      </c>
      <c r="F351" t="s">
        <v>39</v>
      </c>
      <c r="G351">
        <f>SUM('All_India_Index_Upto_April23 (1'!$E351:$Q351)</f>
        <v>2297.3000000000002</v>
      </c>
      <c r="H351">
        <f>SUM('All_India_Index_Upto_April23 (1'!R351)</f>
        <v>196.3</v>
      </c>
      <c r="I351">
        <f>SUM('All_India_Index_Upto_April23 (1'!$S351:$U351)</f>
        <v>538.20000000000005</v>
      </c>
      <c r="J351">
        <f>SUM('All_India_Index_Upto_April23 (1'!$V351:$X351)</f>
        <v>522.1</v>
      </c>
      <c r="K351">
        <f>SUM('All_India_Index_Upto_April23 (1'!$Y351:$AA351)</f>
        <v>524.19999999999993</v>
      </c>
      <c r="L351">
        <f>SUM('All_India_Index_Upto_April23 (1'!$AB351:$AD351)</f>
        <v>501.6</v>
      </c>
      <c r="M351">
        <v>176.7</v>
      </c>
    </row>
    <row r="352" spans="4:13" x14ac:dyDescent="0.3">
      <c r="D352" t="s">
        <v>29</v>
      </c>
      <c r="E352">
        <v>2022</v>
      </c>
      <c r="F352" t="s">
        <v>39</v>
      </c>
      <c r="G352">
        <f>SUM('All_India_Index_Upto_April23 (1'!$E352:$Q352)</f>
        <v>2322.3000000000002</v>
      </c>
      <c r="H352">
        <f>SUM('All_India_Index_Upto_April23 (1'!R352)</f>
        <v>200.1</v>
      </c>
      <c r="I352">
        <f>SUM('All_India_Index_Upto_April23 (1'!$S352:$U352)</f>
        <v>511.70000000000005</v>
      </c>
      <c r="J352">
        <f>SUM('All_India_Index_Upto_April23 (1'!$V352:$X352)</f>
        <v>517.20000000000005</v>
      </c>
      <c r="K352">
        <f>SUM('All_India_Index_Upto_April23 (1'!$Y352:$AA352)</f>
        <v>518.20000000000005</v>
      </c>
      <c r="L352">
        <f>SUM('All_India_Index_Upto_April23 (1'!$AB352:$AD352)</f>
        <v>491.90000000000003</v>
      </c>
      <c r="M352">
        <v>175.3</v>
      </c>
    </row>
    <row r="353" spans="4:13" x14ac:dyDescent="0.3">
      <c r="D353" t="s">
        <v>27</v>
      </c>
      <c r="E353">
        <v>2022</v>
      </c>
      <c r="F353" t="s">
        <v>41</v>
      </c>
      <c r="G353">
        <f>SUM('All_India_Index_Upto_April23 (1'!$E353:$Q353)</f>
        <v>2287.6999999999998</v>
      </c>
      <c r="H353">
        <f>SUM('All_India_Index_Upto_April23 (1'!R353)</f>
        <v>195.5</v>
      </c>
      <c r="I353">
        <f>SUM('All_India_Index_Upto_April23 (1'!$S353:$U353)</f>
        <v>559.29999999999995</v>
      </c>
      <c r="J353">
        <f>SUM('All_India_Index_Upto_April23 (1'!$V353:$X353)</f>
        <v>529.20000000000005</v>
      </c>
      <c r="K353">
        <f>SUM('All_India_Index_Upto_April23 (1'!$Y353:$AA353)</f>
        <v>532.6</v>
      </c>
      <c r="L353">
        <f>SUM('All_India_Index_Upto_April23 (1'!$AB353:$AD353)</f>
        <v>512.9</v>
      </c>
      <c r="M353">
        <v>177.8</v>
      </c>
    </row>
    <row r="354" spans="4:13" x14ac:dyDescent="0.3">
      <c r="D354" t="s">
        <v>30</v>
      </c>
      <c r="E354">
        <v>2022</v>
      </c>
      <c r="F354" t="s">
        <v>41</v>
      </c>
      <c r="G354">
        <f>SUM('All_India_Index_Upto_April23 (1'!$E354:$Q354)</f>
        <v>2296.8000000000002</v>
      </c>
      <c r="H354">
        <f>SUM('All_India_Index_Upto_April23 (1'!R354)</f>
        <v>196.9</v>
      </c>
      <c r="I354">
        <f>SUM('All_India_Index_Upto_April23 (1'!$S354:$U354)</f>
        <v>541.4</v>
      </c>
      <c r="J354">
        <f>SUM('All_India_Index_Upto_April23 (1'!$V354:$X354)</f>
        <v>524.5</v>
      </c>
      <c r="K354">
        <f>SUM('All_India_Index_Upto_April23 (1'!$Y354:$AA354)</f>
        <v>527.09999999999991</v>
      </c>
      <c r="L354">
        <f>SUM('All_India_Index_Upto_April23 (1'!$AB354:$AD354)</f>
        <v>502.6</v>
      </c>
      <c r="M354">
        <v>176.5</v>
      </c>
    </row>
    <row r="355" spans="4:13" x14ac:dyDescent="0.3">
      <c r="D355" t="s">
        <v>29</v>
      </c>
      <c r="E355">
        <v>2022</v>
      </c>
      <c r="F355" t="s">
        <v>41</v>
      </c>
      <c r="G355">
        <f>SUM('All_India_Index_Upto_April23 (1'!$E355:$Q355)</f>
        <v>2314.4</v>
      </c>
      <c r="H355">
        <f>SUM('All_India_Index_Upto_April23 (1'!R355)</f>
        <v>200.6</v>
      </c>
      <c r="I355">
        <f>SUM('All_India_Index_Upto_April23 (1'!$S355:$U355)</f>
        <v>514.9</v>
      </c>
      <c r="J355">
        <f>SUM('All_India_Index_Upto_April23 (1'!$V355:$X355)</f>
        <v>519</v>
      </c>
      <c r="K355">
        <f>SUM('All_India_Index_Upto_April23 (1'!$Y355:$AA355)</f>
        <v>521.1</v>
      </c>
      <c r="L355">
        <f>SUM('All_India_Index_Upto_April23 (1'!$AB355:$AD355)</f>
        <v>493</v>
      </c>
      <c r="M355">
        <v>174.1</v>
      </c>
    </row>
    <row r="356" spans="4:13" x14ac:dyDescent="0.3">
      <c r="D356" t="s">
        <v>27</v>
      </c>
      <c r="E356">
        <v>2022</v>
      </c>
      <c r="F356" t="s">
        <v>42</v>
      </c>
      <c r="G356">
        <f>SUM('All_India_Index_Upto_April23 (1'!$E356:$Q356)</f>
        <v>2277.1</v>
      </c>
      <c r="H356">
        <f>SUM('All_India_Index_Upto_April23 (1'!R356)</f>
        <v>195.9</v>
      </c>
      <c r="I356">
        <f>SUM('All_India_Index_Upto_April23 (1'!$S356:$U356)</f>
        <v>561.79999999999995</v>
      </c>
      <c r="J356">
        <f>SUM('All_India_Index_Upto_April23 (1'!$V356:$X356)</f>
        <v>529.9</v>
      </c>
      <c r="K356">
        <f>SUM('All_India_Index_Upto_April23 (1'!$Y356:$AA356)</f>
        <v>536.5</v>
      </c>
      <c r="L356">
        <f>SUM('All_India_Index_Upto_April23 (1'!$AB356:$AD356)</f>
        <v>514.5</v>
      </c>
      <c r="M356">
        <v>177.1</v>
      </c>
    </row>
    <row r="357" spans="4:13" x14ac:dyDescent="0.3">
      <c r="D357" t="s">
        <v>30</v>
      </c>
      <c r="E357">
        <v>2022</v>
      </c>
      <c r="F357" t="s">
        <v>42</v>
      </c>
      <c r="G357">
        <f>SUM('All_India_Index_Upto_April23 (1'!$E357:$Q357)</f>
        <v>2283.4</v>
      </c>
      <c r="H357">
        <f>SUM('All_India_Index_Upto_April23 (1'!R357)</f>
        <v>197.3</v>
      </c>
      <c r="I357">
        <f>SUM('All_India_Index_Upto_April23 (1'!$S357:$U357)</f>
        <v>544</v>
      </c>
      <c r="J357">
        <f>SUM('All_India_Index_Upto_April23 (1'!$V357:$X357)</f>
        <v>524.79999999999995</v>
      </c>
      <c r="K357">
        <f>SUM('All_India_Index_Upto_April23 (1'!$Y357:$AA357)</f>
        <v>531</v>
      </c>
      <c r="L357">
        <f>SUM('All_India_Index_Upto_April23 (1'!$AB357:$AD357)</f>
        <v>504.3</v>
      </c>
      <c r="M357">
        <v>175.7</v>
      </c>
    </row>
    <row r="358" spans="4:13" x14ac:dyDescent="0.3">
      <c r="D358" t="s">
        <v>29</v>
      </c>
      <c r="E358">
        <v>2022</v>
      </c>
      <c r="F358" t="s">
        <v>42</v>
      </c>
      <c r="G358">
        <f>SUM('All_India_Index_Upto_April23 (1'!$E358:$Q358)</f>
        <v>2295.7999999999997</v>
      </c>
      <c r="H358">
        <f>SUM('All_India_Index_Upto_April23 (1'!R358)</f>
        <v>201.1</v>
      </c>
      <c r="I358">
        <f>SUM('All_India_Index_Upto_April23 (1'!$S358:$U358)</f>
        <v>517.9</v>
      </c>
      <c r="J358">
        <f>SUM('All_India_Index_Upto_April23 (1'!$V358:$X358)</f>
        <v>518.59999999999991</v>
      </c>
      <c r="K358">
        <f>SUM('All_India_Index_Upto_April23 (1'!$Y358:$AA358)</f>
        <v>525</v>
      </c>
      <c r="L358">
        <f>SUM('All_India_Index_Upto_April23 (1'!$AB358:$AD358)</f>
        <v>494.7</v>
      </c>
      <c r="M358">
        <v>174.1</v>
      </c>
    </row>
    <row r="359" spans="4:13" x14ac:dyDescent="0.3">
      <c r="D359" t="s">
        <v>27</v>
      </c>
      <c r="E359">
        <v>2023</v>
      </c>
      <c r="F359" t="s">
        <v>28</v>
      </c>
      <c r="G359">
        <f>SUM('All_India_Index_Upto_April23 (1'!$E359:$Q359)</f>
        <v>2283.2000000000003</v>
      </c>
      <c r="H359">
        <f>SUM('All_India_Index_Upto_April23 (1'!R359)</f>
        <v>196.9</v>
      </c>
      <c r="I359">
        <f>SUM('All_India_Index_Upto_April23 (1'!$S359:$U359)</f>
        <v>563.9</v>
      </c>
      <c r="J359">
        <f>SUM('All_India_Index_Upto_April23 (1'!$V359:$X359)</f>
        <v>532.5</v>
      </c>
      <c r="K359">
        <f>SUM('All_India_Index_Upto_April23 (1'!$Y359:$AA359)</f>
        <v>540.90000000000009</v>
      </c>
      <c r="L359">
        <f>SUM('All_India_Index_Upto_April23 (1'!$AB359:$AD359)</f>
        <v>516.5</v>
      </c>
      <c r="M359">
        <v>177.8</v>
      </c>
    </row>
    <row r="360" spans="4:13" x14ac:dyDescent="0.3">
      <c r="D360" t="s">
        <v>30</v>
      </c>
      <c r="E360">
        <v>2023</v>
      </c>
      <c r="F360" t="s">
        <v>28</v>
      </c>
      <c r="G360">
        <f>SUM('All_India_Index_Upto_April23 (1'!$E360:$Q360)</f>
        <v>2292.6999999999998</v>
      </c>
      <c r="H360">
        <f>SUM('All_India_Index_Upto_April23 (1'!R360)</f>
        <v>198.2</v>
      </c>
      <c r="I360">
        <f>SUM('All_India_Index_Upto_April23 (1'!$S360:$U360)</f>
        <v>546.29999999999995</v>
      </c>
      <c r="J360">
        <f>SUM('All_India_Index_Upto_April23 (1'!$V360:$X360)</f>
        <v>527</v>
      </c>
      <c r="K360">
        <f>SUM('All_India_Index_Upto_April23 (1'!$Y360:$AA360)</f>
        <v>535.20000000000005</v>
      </c>
      <c r="L360">
        <f>SUM('All_India_Index_Upto_April23 (1'!$AB360:$AD360)</f>
        <v>505.90000000000003</v>
      </c>
      <c r="M360">
        <v>176.5</v>
      </c>
    </row>
    <row r="361" spans="4:13" x14ac:dyDescent="0.3">
      <c r="D361" t="s">
        <v>29</v>
      </c>
      <c r="E361">
        <v>2023</v>
      </c>
      <c r="F361" t="s">
        <v>28</v>
      </c>
      <c r="G361">
        <f>SUM('All_India_Index_Upto_April23 (1'!$E361:$Q361)</f>
        <v>2310.2000000000003</v>
      </c>
      <c r="H361">
        <f>SUM('All_India_Index_Upto_April23 (1'!R361)</f>
        <v>201.6</v>
      </c>
      <c r="I361">
        <f>SUM('All_India_Index_Upto_April23 (1'!$S361:$U361)</f>
        <v>520.6</v>
      </c>
      <c r="J361">
        <f>SUM('All_India_Index_Upto_April23 (1'!$V361:$X361)</f>
        <v>520.20000000000005</v>
      </c>
      <c r="K361">
        <f>SUM('All_India_Index_Upto_April23 (1'!$Y361:$AA361)</f>
        <v>529.1</v>
      </c>
      <c r="L361">
        <f>SUM('All_India_Index_Upto_April23 (1'!$AB361:$AD361)</f>
        <v>496.20000000000005</v>
      </c>
      <c r="M361">
        <v>174.9</v>
      </c>
    </row>
    <row r="362" spans="4:13" x14ac:dyDescent="0.3">
      <c r="D362" t="s">
        <v>27</v>
      </c>
      <c r="E362">
        <v>2023</v>
      </c>
      <c r="F362" t="s">
        <v>31</v>
      </c>
      <c r="G362">
        <f>SUM('All_India_Index_Upto_April23 (1'!$E362:$Q362)</f>
        <v>2265.6999999999998</v>
      </c>
      <c r="H362">
        <f>SUM('All_India_Index_Upto_April23 (1'!R362)</f>
        <v>198.3</v>
      </c>
      <c r="I362">
        <f>SUM('All_India_Index_Upto_April23 (1'!$S362:$U362)</f>
        <v>566.6</v>
      </c>
      <c r="J362">
        <f>SUM('All_India_Index_Upto_April23 (1'!$V362:$X362)</f>
        <v>533.70000000000005</v>
      </c>
      <c r="K362">
        <f>SUM('All_India_Index_Upto_April23 (1'!$Y362:$AA362)</f>
        <v>545.79999999999995</v>
      </c>
      <c r="L362">
        <f>SUM('All_India_Index_Upto_April23 (1'!$AB362:$AD362)</f>
        <v>519.70000000000005</v>
      </c>
      <c r="M362">
        <v>178</v>
      </c>
    </row>
    <row r="363" spans="4:13" x14ac:dyDescent="0.3">
      <c r="D363" t="s">
        <v>30</v>
      </c>
      <c r="E363">
        <v>2023</v>
      </c>
      <c r="F363" t="s">
        <v>31</v>
      </c>
      <c r="G363">
        <f>SUM('All_India_Index_Upto_April23 (1'!$E363:$Q363)</f>
        <v>2279.1</v>
      </c>
      <c r="H363">
        <f>SUM('All_India_Index_Upto_April23 (1'!R363)</f>
        <v>199.5</v>
      </c>
      <c r="I363">
        <f>SUM('All_India_Index_Upto_April23 (1'!$S363:$U363)</f>
        <v>550</v>
      </c>
      <c r="J363">
        <f>SUM('All_India_Index_Upto_April23 (1'!$V363:$X363)</f>
        <v>529.79999999999995</v>
      </c>
      <c r="K363">
        <f>SUM('All_India_Index_Upto_April23 (1'!$Y363:$AA363)</f>
        <v>540.4</v>
      </c>
      <c r="L363">
        <f>SUM('All_India_Index_Upto_April23 (1'!$AB363:$AD363)</f>
        <v>508.6</v>
      </c>
      <c r="M363">
        <v>177.2</v>
      </c>
    </row>
    <row r="364" spans="4:13" x14ac:dyDescent="0.3">
      <c r="D364" t="s">
        <v>29</v>
      </c>
      <c r="E364">
        <v>2023</v>
      </c>
      <c r="F364" t="s">
        <v>31</v>
      </c>
      <c r="G364">
        <f>SUM('All_India_Index_Upto_April23 (1'!$E364:$Q364)</f>
        <v>2303.1999999999998</v>
      </c>
      <c r="H364">
        <f>SUM('All_India_Index_Upto_April23 (1'!R364)</f>
        <v>202.7</v>
      </c>
      <c r="I364">
        <f>SUM('All_India_Index_Upto_April23 (1'!$S364:$U364)</f>
        <v>525.5</v>
      </c>
      <c r="J364">
        <f>SUM('All_India_Index_Upto_April23 (1'!$V364:$X364)</f>
        <v>525.5</v>
      </c>
      <c r="K364">
        <f>SUM('All_India_Index_Upto_April23 (1'!$Y364:$AA364)</f>
        <v>534.70000000000005</v>
      </c>
      <c r="L364">
        <f>SUM('All_India_Index_Upto_April23 (1'!$AB364:$AD364)</f>
        <v>498.20000000000005</v>
      </c>
      <c r="M364">
        <v>176.3</v>
      </c>
    </row>
    <row r="365" spans="4:13" x14ac:dyDescent="0.3">
      <c r="D365" t="s">
        <v>27</v>
      </c>
      <c r="E365">
        <v>2023</v>
      </c>
      <c r="F365" t="s">
        <v>32</v>
      </c>
      <c r="G365">
        <f>SUM('All_India_Index_Upto_April23 (1'!$E365:$Q365)</f>
        <v>2265.8000000000002</v>
      </c>
      <c r="H365">
        <f>SUM('All_India_Index_Upto_April23 (1'!R365)</f>
        <v>198.4</v>
      </c>
      <c r="I365">
        <f>SUM('All_India_Index_Upto_April23 (1'!$S365:$U365)</f>
        <v>566.6</v>
      </c>
      <c r="J365">
        <f>SUM('All_India_Index_Upto_April23 (1'!$V365:$X365)</f>
        <v>533.5</v>
      </c>
      <c r="K365">
        <f>SUM('All_India_Index_Upto_April23 (1'!$Y365:$AA365)</f>
        <v>545.79999999999995</v>
      </c>
      <c r="L365">
        <f>SUM('All_India_Index_Upto_April23 (1'!$AB365:$AD365)</f>
        <v>519.70000000000005</v>
      </c>
      <c r="M365">
        <v>178</v>
      </c>
    </row>
    <row r="366" spans="4:13" x14ac:dyDescent="0.3">
      <c r="D366" t="s">
        <v>30</v>
      </c>
      <c r="E366">
        <v>2023</v>
      </c>
      <c r="F366" t="s">
        <v>32</v>
      </c>
      <c r="G366">
        <f>SUM('All_India_Index_Upto_April23 (1'!$E366:$Q366)</f>
        <v>2279.1999999999998</v>
      </c>
      <c r="H366">
        <f>SUM('All_India_Index_Upto_April23 (1'!R366)</f>
        <v>199.5</v>
      </c>
      <c r="I366">
        <f>SUM('All_India_Index_Upto_April23 (1'!$S366:$U366)</f>
        <v>549.9</v>
      </c>
      <c r="J366">
        <f>SUM('All_India_Index_Upto_April23 (1'!$V366:$X366)</f>
        <v>529.59999999999991</v>
      </c>
      <c r="K366">
        <f>SUM('All_India_Index_Upto_April23 (1'!$Y366:$AA366)</f>
        <v>540.4</v>
      </c>
      <c r="L366">
        <f>SUM('All_India_Index_Upto_April23 (1'!$AB366:$AD366)</f>
        <v>508.6</v>
      </c>
      <c r="M366">
        <v>177.2</v>
      </c>
    </row>
    <row r="367" spans="4:13" x14ac:dyDescent="0.3">
      <c r="D367" t="s">
        <v>29</v>
      </c>
      <c r="E367">
        <v>2023</v>
      </c>
      <c r="F367" t="s">
        <v>32</v>
      </c>
      <c r="G367">
        <f>SUM('All_India_Index_Upto_April23 (1'!$E367:$Q367)</f>
        <v>2303.4</v>
      </c>
      <c r="H367">
        <f>SUM('All_India_Index_Upto_April23 (1'!R367)</f>
        <v>202.7</v>
      </c>
      <c r="I367">
        <f>SUM('All_India_Index_Upto_April23 (1'!$S367:$U367)</f>
        <v>525.4</v>
      </c>
      <c r="J367">
        <f>SUM('All_India_Index_Upto_April23 (1'!$V367:$X367)</f>
        <v>525.29999999999995</v>
      </c>
      <c r="K367">
        <f>SUM('All_India_Index_Upto_April23 (1'!$Y367:$AA367)</f>
        <v>534.79999999999995</v>
      </c>
      <c r="L367">
        <f>SUM('All_India_Index_Upto_April23 (1'!$AB367:$AD367)</f>
        <v>498.20000000000005</v>
      </c>
      <c r="M367">
        <v>176.3</v>
      </c>
    </row>
    <row r="368" spans="4:13" x14ac:dyDescent="0.3">
      <c r="D368" t="s">
        <v>27</v>
      </c>
      <c r="E368">
        <v>2023</v>
      </c>
      <c r="F368" t="s">
        <v>33</v>
      </c>
      <c r="G368">
        <f>SUM('All_India_Index_Upto_April23 (1'!$E368:$Q368)</f>
        <v>2274.1999999999998</v>
      </c>
      <c r="H368">
        <f>SUM('All_India_Index_Upto_April23 (1'!R368)</f>
        <v>199.5</v>
      </c>
      <c r="I368">
        <f>SUM('All_India_Index_Upto_April23 (1'!$S368:$U368)</f>
        <v>568.20000000000005</v>
      </c>
      <c r="J368">
        <f>SUM('All_India_Index_Upto_April23 (1'!$V368:$X368)</f>
        <v>535.79999999999995</v>
      </c>
      <c r="K368">
        <f>SUM('All_India_Index_Upto_April23 (1'!$Y368:$AA368)</f>
        <v>550.4</v>
      </c>
      <c r="L368">
        <f>SUM('All_India_Index_Upto_April23 (1'!$AB368:$AD368)</f>
        <v>521.5</v>
      </c>
      <c r="M368">
        <v>178.8</v>
      </c>
    </row>
    <row r="369" spans="4:13" x14ac:dyDescent="0.3">
      <c r="D369" t="s">
        <v>30</v>
      </c>
      <c r="E369">
        <v>2023</v>
      </c>
      <c r="F369" t="s">
        <v>33</v>
      </c>
      <c r="G369">
        <f>SUM('All_India_Index_Upto_April23 (1'!$E369:$Q369)</f>
        <v>2289.6000000000004</v>
      </c>
      <c r="H369">
        <f>SUM('All_India_Index_Upto_April23 (1'!R369)</f>
        <v>200.6</v>
      </c>
      <c r="I369">
        <f>SUM('All_India_Index_Upto_April23 (1'!$S369:$U369)</f>
        <v>551.79999999999995</v>
      </c>
      <c r="J369">
        <f>SUM('All_India_Index_Upto_April23 (1'!$V369:$X369)</f>
        <v>531.5</v>
      </c>
      <c r="K369">
        <f>SUM('All_India_Index_Upto_April23 (1'!$Y369:$AA369)</f>
        <v>545.4</v>
      </c>
      <c r="L369">
        <f>SUM('All_India_Index_Upto_April23 (1'!$AB369:$AD369)</f>
        <v>510.2</v>
      </c>
      <c r="M369">
        <v>178.1</v>
      </c>
    </row>
    <row r="370" spans="4:13" x14ac:dyDescent="0.3">
      <c r="D370" t="s">
        <v>29</v>
      </c>
      <c r="E370">
        <v>2023</v>
      </c>
      <c r="F370" t="s">
        <v>33</v>
      </c>
      <c r="G370">
        <f>SUM('All_India_Index_Upto_April23 (1'!$E370:$Q370)</f>
        <v>2317.7000000000003</v>
      </c>
      <c r="H370">
        <f>SUM('All_India_Index_Upto_April23 (1'!R370)</f>
        <v>203.5</v>
      </c>
      <c r="I370">
        <f>SUM('All_India_Index_Upto_April23 (1'!$S370:$U370)</f>
        <v>527.6</v>
      </c>
      <c r="J370">
        <f>SUM('All_India_Index_Upto_April23 (1'!$V370:$X370)</f>
        <v>526.9</v>
      </c>
      <c r="K370">
        <f>SUM('All_India_Index_Upto_April23 (1'!$Y370:$AA370)</f>
        <v>540.09999999999991</v>
      </c>
      <c r="L370">
        <f>SUM('All_India_Index_Upto_April23 (1'!$AB370:$AD370)</f>
        <v>499.79999999999995</v>
      </c>
      <c r="M370">
        <v>177.4</v>
      </c>
    </row>
    <row r="371" spans="4:13" x14ac:dyDescent="0.3">
      <c r="D371" t="s">
        <v>27</v>
      </c>
      <c r="E371">
        <v>2023</v>
      </c>
      <c r="F371" t="s">
        <v>34</v>
      </c>
      <c r="G371">
        <f>SUM('All_India_Index_Upto_April23 (1'!$E371:$Q371)</f>
        <v>2290.7000000000007</v>
      </c>
      <c r="H371">
        <f>SUM('All_India_Index_Upto_April23 (1'!R371)</f>
        <v>199.9</v>
      </c>
      <c r="I371">
        <f>SUM('All_India_Index_Upto_April23 (1'!$S371:$U371)</f>
        <v>569.90000000000009</v>
      </c>
      <c r="J371">
        <f>SUM('All_India_Index_Upto_April23 (1'!$V371:$X371)</f>
        <v>537.90000000000009</v>
      </c>
      <c r="K371">
        <f>SUM('All_India_Index_Upto_April23 (1'!$Y371:$AA371)</f>
        <v>553</v>
      </c>
      <c r="L371">
        <f>SUM('All_India_Index_Upto_April23 (1'!$AB371:$AD371)</f>
        <v>523</v>
      </c>
      <c r="M371">
        <v>179.8</v>
      </c>
    </row>
    <row r="372" spans="4:13" x14ac:dyDescent="0.3">
      <c r="D372" t="s">
        <v>30</v>
      </c>
      <c r="E372">
        <v>2023</v>
      </c>
      <c r="F372" t="s">
        <v>34</v>
      </c>
      <c r="G372">
        <f>SUM('All_India_Index_Upto_April23 (1'!$E372:$Q372)</f>
        <v>2306.9</v>
      </c>
      <c r="H372">
        <f>SUM('All_India_Index_Upto_April23 (1'!R372)</f>
        <v>201</v>
      </c>
      <c r="I372">
        <f>SUM('All_India_Index_Upto_April23 (1'!$S372:$U372)</f>
        <v>553.20000000000005</v>
      </c>
      <c r="J372">
        <f>SUM('All_India_Index_Upto_April23 (1'!$V372:$X372)</f>
        <v>533.59999999999991</v>
      </c>
      <c r="K372">
        <f>SUM('All_India_Index_Upto_April23 (1'!$Y372:$AA372)</f>
        <v>548</v>
      </c>
      <c r="L372">
        <f>SUM('All_India_Index_Upto_April23 (1'!$AB372:$AD372)</f>
        <v>511.7</v>
      </c>
      <c r="M372">
        <v>179.1</v>
      </c>
    </row>
    <row r="373" spans="4:13" x14ac:dyDescent="0.3">
      <c r="D373" t="s">
        <v>29</v>
      </c>
      <c r="E373">
        <v>2023</v>
      </c>
      <c r="F373" t="s">
        <v>34</v>
      </c>
      <c r="G373">
        <f>SUM('All_India_Index_Upto_April23 (1'!$E373:$Q373)</f>
        <v>2335.1</v>
      </c>
      <c r="H373">
        <f>SUM('All_India_Index_Upto_April23 (1'!R373)</f>
        <v>204.2</v>
      </c>
      <c r="I373">
        <f>SUM('All_India_Index_Upto_April23 (1'!$S373:$U373)</f>
        <v>528.70000000000005</v>
      </c>
      <c r="J373">
        <f>SUM('All_India_Index_Upto_April23 (1'!$V373:$X373)</f>
        <v>529.1</v>
      </c>
      <c r="K373">
        <f>SUM('All_India_Index_Upto_April23 (1'!$Y373:$AA373)</f>
        <v>542.59999999999991</v>
      </c>
      <c r="L373">
        <f>SUM('All_India_Index_Upto_April23 (1'!$AB373:$AD373)</f>
        <v>501.20000000000005</v>
      </c>
      <c r="M373">
        <v>178.2</v>
      </c>
    </row>
  </sheetData>
  <autoFilter ref="D1:M373" xr:uid="{7C71407B-6306-444F-AB45-F027ED8C136E}"/>
  <mergeCells count="5">
    <mergeCell ref="B1:B13"/>
    <mergeCell ref="B15:B17"/>
    <mergeCell ref="B18:B20"/>
    <mergeCell ref="B21:B23"/>
    <mergeCell ref="B24:B26"/>
  </mergeCells>
  <conditionalFormatting sqref="A1:A26">
    <cfRule type="containsText" dxfId="46" priority="4" operator="containsText" text="&quot;blanks&quot;">
      <formula>NOT(ISERROR(SEARCH("""blanks""",A1)))</formula>
    </cfRule>
  </conditionalFormatting>
  <conditionalFormatting sqref="D1:F373">
    <cfRule type="containsText" dxfId="45" priority="3" operator="containsText" text="&quot;blanks&quot;">
      <formula>NOT(ISERROR(SEARCH("""blanks""",D1)))</formula>
    </cfRule>
  </conditionalFormatting>
  <conditionalFormatting sqref="G1:L1">
    <cfRule type="containsText" dxfId="44" priority="7" operator="containsText" text="&quot;blanks&quot;">
      <formula>NOT(ISERROR(SEARCH("""blanks""",G1)))</formula>
    </cfRule>
  </conditionalFormatting>
  <conditionalFormatting sqref="M1:M373">
    <cfRule type="containsText" dxfId="43" priority="2" operator="containsText" text="&quot;blanks&quot;">
      <formula>NOT(ISERROR(SEARCH("""blanks""",M1)))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CF99-9A9E-4588-BC74-CA937A06373F}">
  <dimension ref="A1:M33"/>
  <sheetViews>
    <sheetView topLeftCell="A18" workbookViewId="0">
      <selection activeCell="B7" sqref="B7"/>
    </sheetView>
  </sheetViews>
  <sheetFormatPr defaultRowHeight="14.4" x14ac:dyDescent="0.3"/>
  <cols>
    <col min="1" max="1" width="30.5546875" bestFit="1" customWidth="1"/>
    <col min="3" max="3" width="14.109375" customWidth="1"/>
    <col min="6" max="6" width="29.88671875" customWidth="1"/>
    <col min="8" max="8" width="13.77734375" customWidth="1"/>
    <col min="11" max="11" width="29.88671875" customWidth="1"/>
    <col min="13" max="13" width="14.21875" customWidth="1"/>
  </cols>
  <sheetData>
    <row r="1" spans="1:13" ht="18" x14ac:dyDescent="0.35">
      <c r="A1" s="75" t="s">
        <v>157</v>
      </c>
    </row>
    <row r="3" spans="1:13" ht="15.6" x14ac:dyDescent="0.3">
      <c r="A3" s="13" t="s">
        <v>143</v>
      </c>
    </row>
    <row r="5" spans="1:13" ht="15.6" x14ac:dyDescent="0.3">
      <c r="A5" s="79" t="s">
        <v>64</v>
      </c>
      <c r="B5" s="80"/>
      <c r="C5" s="80"/>
      <c r="F5" s="79" t="s">
        <v>140</v>
      </c>
      <c r="G5" s="80"/>
      <c r="H5" s="80"/>
      <c r="K5" s="79" t="s">
        <v>141</v>
      </c>
      <c r="L5" s="80"/>
      <c r="M5" s="80"/>
    </row>
    <row r="6" spans="1:13" x14ac:dyDescent="0.3">
      <c r="A6" s="45" t="s">
        <v>123</v>
      </c>
      <c r="B6" s="45" t="s">
        <v>139</v>
      </c>
      <c r="C6" s="45" t="s">
        <v>144</v>
      </c>
      <c r="F6" s="45" t="s">
        <v>123</v>
      </c>
      <c r="G6" s="45" t="s">
        <v>139</v>
      </c>
      <c r="H6" s="45" t="s">
        <v>144</v>
      </c>
      <c r="K6" s="45" t="s">
        <v>123</v>
      </c>
      <c r="L6" s="45" t="s">
        <v>139</v>
      </c>
      <c r="M6" s="45" t="s">
        <v>144</v>
      </c>
    </row>
    <row r="7" spans="1:13" x14ac:dyDescent="0.3">
      <c r="A7" s="46" t="s">
        <v>50</v>
      </c>
      <c r="B7" s="46">
        <v>2290.6999999999998</v>
      </c>
      <c r="C7" s="62">
        <f>B7/$B$14</f>
        <v>0.49005219921273319</v>
      </c>
      <c r="F7" s="46" t="s">
        <v>50</v>
      </c>
      <c r="G7" s="46">
        <v>2335.1</v>
      </c>
      <c r="H7" s="62">
        <f>G7/$G$14</f>
        <v>0.50315671529229244</v>
      </c>
      <c r="K7" s="46" t="s">
        <v>50</v>
      </c>
      <c r="L7" s="46">
        <v>2306.9</v>
      </c>
      <c r="M7" s="62">
        <f>L7/$L$14</f>
        <v>0.49563853557923682</v>
      </c>
    </row>
    <row r="8" spans="1:13" x14ac:dyDescent="0.3">
      <c r="A8" s="46" t="s">
        <v>14</v>
      </c>
      <c r="B8" s="46">
        <v>199.9</v>
      </c>
      <c r="C8" s="62">
        <f t="shared" ref="C8:C12" si="0">B8/$B$14</f>
        <v>4.2764846825261001E-2</v>
      </c>
      <c r="F8" s="46" t="s">
        <v>14</v>
      </c>
      <c r="G8" s="46">
        <v>204.2</v>
      </c>
      <c r="H8" s="62">
        <f t="shared" ref="H8:H12" si="1">G8/$G$14</f>
        <v>4.4000086190178631E-2</v>
      </c>
      <c r="K8" s="46" t="s">
        <v>14</v>
      </c>
      <c r="L8" s="46">
        <v>201</v>
      </c>
      <c r="M8" s="62">
        <f t="shared" ref="M8:M12" si="2">L8/$L$14</f>
        <v>4.3184943279477479E-2</v>
      </c>
    </row>
    <row r="9" spans="1:13" x14ac:dyDescent="0.3">
      <c r="A9" s="46" t="s">
        <v>17</v>
      </c>
      <c r="B9" s="46">
        <v>569.90000000000009</v>
      </c>
      <c r="C9" s="62">
        <f t="shared" si="0"/>
        <v>0.12191939072394321</v>
      </c>
      <c r="F9" s="46" t="s">
        <v>17</v>
      </c>
      <c r="G9" s="46">
        <v>528.70000000000005</v>
      </c>
      <c r="H9" s="62">
        <f t="shared" si="1"/>
        <v>0.1139218686030727</v>
      </c>
      <c r="K9" s="46" t="s">
        <v>17</v>
      </c>
      <c r="L9" s="46">
        <v>553.20000000000005</v>
      </c>
      <c r="M9" s="62">
        <f t="shared" si="2"/>
        <v>0.11885527672739772</v>
      </c>
    </row>
    <row r="10" spans="1:13" x14ac:dyDescent="0.3">
      <c r="A10" s="46" t="s">
        <v>48</v>
      </c>
      <c r="B10" s="46">
        <v>537.90000000000009</v>
      </c>
      <c r="C10" s="62">
        <f t="shared" si="0"/>
        <v>0.11507359233270582</v>
      </c>
      <c r="F10" s="46" t="s">
        <v>48</v>
      </c>
      <c r="G10" s="46">
        <v>529.1</v>
      </c>
      <c r="H10" s="62">
        <f t="shared" si="1"/>
        <v>0.11400805878170184</v>
      </c>
      <c r="K10" s="46" t="s">
        <v>48</v>
      </c>
      <c r="L10" s="46">
        <v>533.59999999999991</v>
      </c>
      <c r="M10" s="62">
        <f t="shared" si="2"/>
        <v>0.11464420763148846</v>
      </c>
    </row>
    <row r="11" spans="1:13" x14ac:dyDescent="0.3">
      <c r="A11" s="46" t="s">
        <v>49</v>
      </c>
      <c r="B11" s="46">
        <v>553</v>
      </c>
      <c r="C11" s="62">
        <f t="shared" si="0"/>
        <v>0.11830395344857095</v>
      </c>
      <c r="F11" s="46" t="s">
        <v>49</v>
      </c>
      <c r="G11" s="46">
        <v>542.59999999999991</v>
      </c>
      <c r="H11" s="62">
        <f t="shared" si="1"/>
        <v>0.11691697731043546</v>
      </c>
      <c r="K11" s="46" t="s">
        <v>49</v>
      </c>
      <c r="L11" s="46">
        <v>548</v>
      </c>
      <c r="M11" s="62">
        <f t="shared" si="2"/>
        <v>0.1177380543141973</v>
      </c>
    </row>
    <row r="12" spans="1:13" x14ac:dyDescent="0.3">
      <c r="A12" s="46" t="s">
        <v>25</v>
      </c>
      <c r="B12" s="46">
        <v>523</v>
      </c>
      <c r="C12" s="62">
        <f t="shared" si="0"/>
        <v>0.11188601745678591</v>
      </c>
      <c r="F12" s="46" t="s">
        <v>25</v>
      </c>
      <c r="G12" s="46">
        <v>501.20000000000005</v>
      </c>
      <c r="H12" s="62">
        <f t="shared" si="1"/>
        <v>0.10799629382231897</v>
      </c>
      <c r="K12" s="46" t="s">
        <v>25</v>
      </c>
      <c r="L12" s="46">
        <v>511.7</v>
      </c>
      <c r="M12" s="62">
        <f t="shared" si="2"/>
        <v>0.10993898246820212</v>
      </c>
    </row>
    <row r="13" spans="1:13" x14ac:dyDescent="0.3">
      <c r="A13" s="46"/>
      <c r="B13" s="46"/>
      <c r="C13" s="46"/>
      <c r="F13" s="46"/>
      <c r="G13" s="46"/>
      <c r="H13" s="46"/>
      <c r="K13" s="46"/>
      <c r="L13" s="46"/>
      <c r="M13" s="46"/>
    </row>
    <row r="14" spans="1:13" x14ac:dyDescent="0.3">
      <c r="A14" s="45" t="s">
        <v>52</v>
      </c>
      <c r="B14" s="46">
        <f>SUM(B7:B12)</f>
        <v>4674.3999999999996</v>
      </c>
      <c r="C14" s="63">
        <f>SUM(C7:C12)</f>
        <v>1</v>
      </c>
      <c r="F14" s="45" t="s">
        <v>52</v>
      </c>
      <c r="G14" s="46">
        <f>SUM(G7:G12)</f>
        <v>4640.8999999999996</v>
      </c>
      <c r="H14" s="63">
        <f>SUM(H7:H12)</f>
        <v>1</v>
      </c>
      <c r="K14" s="45" t="s">
        <v>52</v>
      </c>
      <c r="L14" s="46">
        <f>SUM(L7:L12)</f>
        <v>4654.4000000000005</v>
      </c>
      <c r="M14" s="63">
        <f>SUM(M7:M12)</f>
        <v>0.99999999999999978</v>
      </c>
    </row>
    <row r="33" spans="1:1" ht="15.6" x14ac:dyDescent="0.3">
      <c r="A33" s="13" t="s">
        <v>142</v>
      </c>
    </row>
  </sheetData>
  <mergeCells count="3">
    <mergeCell ref="A5:C5"/>
    <mergeCell ref="F5:H5"/>
    <mergeCell ref="K5:M5"/>
  </mergeCells>
  <conditionalFormatting sqref="A7:A12 A14">
    <cfRule type="containsText" dxfId="42" priority="3" operator="containsText" text="&quot;blanks&quot;">
      <formula>NOT(ISERROR(SEARCH("""blanks""",A7)))</formula>
    </cfRule>
  </conditionalFormatting>
  <conditionalFormatting sqref="F7:F12 F14">
    <cfRule type="containsText" dxfId="41" priority="2" operator="containsText" text="&quot;blanks&quot;">
      <formula>NOT(ISERROR(SEARCH("""blanks""",F7)))</formula>
    </cfRule>
  </conditionalFormatting>
  <conditionalFormatting sqref="K7:K12 K14">
    <cfRule type="containsText" dxfId="40" priority="1" operator="containsText" text="&quot;blanks&quot;">
      <formula>NOT(ISERROR(SEARCH("""blanks""",K7)))</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6E32-FAE7-4106-B9D3-526057FCAB2A}">
  <dimension ref="A1:AC39"/>
  <sheetViews>
    <sheetView workbookViewId="0">
      <selection activeCell="O1" sqref="O1"/>
    </sheetView>
  </sheetViews>
  <sheetFormatPr defaultRowHeight="14.4" x14ac:dyDescent="0.3"/>
  <cols>
    <col min="1" max="1" width="12.33203125" customWidth="1"/>
    <col min="2" max="2" width="10.5546875" customWidth="1"/>
    <col min="3" max="3" width="11.88671875" customWidth="1"/>
    <col min="4" max="4" width="12.88671875" customWidth="1"/>
    <col min="5" max="5" width="12.77734375" bestFit="1" customWidth="1"/>
  </cols>
  <sheetData>
    <row r="1" spans="1:5" ht="18" x14ac:dyDescent="0.35">
      <c r="A1" s="75" t="s">
        <v>158</v>
      </c>
    </row>
    <row r="3" spans="1:5" x14ac:dyDescent="0.3">
      <c r="A3" s="67" t="s">
        <v>0</v>
      </c>
      <c r="B3" s="67" t="s">
        <v>1</v>
      </c>
      <c r="C3" s="67" t="s">
        <v>2</v>
      </c>
      <c r="D3" s="67" t="s">
        <v>26</v>
      </c>
      <c r="E3" s="67" t="s">
        <v>60</v>
      </c>
    </row>
    <row r="4" spans="1:5" x14ac:dyDescent="0.3">
      <c r="A4" s="46" t="s">
        <v>30</v>
      </c>
      <c r="B4" s="46">
        <v>2016</v>
      </c>
      <c r="C4" s="46" t="s">
        <v>34</v>
      </c>
      <c r="D4" s="46">
        <v>128.6</v>
      </c>
      <c r="E4" s="47"/>
    </row>
    <row r="5" spans="1:5" x14ac:dyDescent="0.3">
      <c r="A5" s="46" t="s">
        <v>30</v>
      </c>
      <c r="B5" s="46">
        <v>2017</v>
      </c>
      <c r="C5" s="46" t="s">
        <v>34</v>
      </c>
      <c r="D5" s="46">
        <v>131.4</v>
      </c>
      <c r="E5" s="64">
        <f>(D5-D4)/D4</f>
        <v>2.1772939346811911E-2</v>
      </c>
    </row>
    <row r="6" spans="1:5" x14ac:dyDescent="0.3">
      <c r="A6" s="46" t="s">
        <v>30</v>
      </c>
      <c r="B6" s="46">
        <v>2018</v>
      </c>
      <c r="C6" s="46" t="s">
        <v>34</v>
      </c>
      <c r="D6" s="46">
        <v>137.80000000000001</v>
      </c>
      <c r="E6" s="64">
        <f t="shared" ref="E6:E11" si="0">(D6-D5)/D5</f>
        <v>4.8706240487062444E-2</v>
      </c>
    </row>
    <row r="7" spans="1:5" x14ac:dyDescent="0.3">
      <c r="A7" s="46" t="s">
        <v>30</v>
      </c>
      <c r="B7" s="46">
        <v>2019</v>
      </c>
      <c r="C7" s="46" t="s">
        <v>34</v>
      </c>
      <c r="D7" s="46">
        <v>142</v>
      </c>
      <c r="E7" s="64">
        <f t="shared" si="0"/>
        <v>3.0478955007256808E-2</v>
      </c>
    </row>
    <row r="8" spans="1:5" x14ac:dyDescent="0.3">
      <c r="A8" s="46" t="s">
        <v>30</v>
      </c>
      <c r="B8" s="46">
        <v>2020</v>
      </c>
      <c r="C8" s="46" t="s">
        <v>34</v>
      </c>
      <c r="D8" s="65">
        <v>151.01666666666668</v>
      </c>
      <c r="E8" s="64">
        <f t="shared" si="0"/>
        <v>6.3497652582159711E-2</v>
      </c>
    </row>
    <row r="9" spans="1:5" x14ac:dyDescent="0.3">
      <c r="A9" s="46" t="s">
        <v>30</v>
      </c>
      <c r="B9" s="46">
        <v>2021</v>
      </c>
      <c r="C9" s="46" t="s">
        <v>34</v>
      </c>
      <c r="D9" s="46">
        <v>160.4</v>
      </c>
      <c r="E9" s="64">
        <f t="shared" si="0"/>
        <v>6.2134422249199815E-2</v>
      </c>
    </row>
    <row r="10" spans="1:5" x14ac:dyDescent="0.3">
      <c r="A10" s="46" t="s">
        <v>30</v>
      </c>
      <c r="B10" s="46">
        <v>2022</v>
      </c>
      <c r="C10" s="46" t="s">
        <v>34</v>
      </c>
      <c r="D10" s="46">
        <v>171.7</v>
      </c>
      <c r="E10" s="66">
        <f t="shared" si="0"/>
        <v>7.0448877805486171E-2</v>
      </c>
    </row>
    <row r="11" spans="1:5" x14ac:dyDescent="0.3">
      <c r="A11" s="46" t="s">
        <v>30</v>
      </c>
      <c r="B11" s="46">
        <v>2023</v>
      </c>
      <c r="C11" s="46" t="s">
        <v>34</v>
      </c>
      <c r="D11" s="46">
        <v>179.1</v>
      </c>
      <c r="E11" s="64">
        <f t="shared" si="0"/>
        <v>4.3098427489807842E-2</v>
      </c>
    </row>
    <row r="12" spans="1:5" x14ac:dyDescent="0.3">
      <c r="E12" s="20"/>
    </row>
    <row r="13" spans="1:5" ht="15.6" x14ac:dyDescent="0.3">
      <c r="A13" s="11" t="s">
        <v>61</v>
      </c>
      <c r="C13" s="21"/>
    </row>
    <row r="20" spans="1:29" ht="15.6" x14ac:dyDescent="0.3">
      <c r="A20" s="17" t="s">
        <v>125</v>
      </c>
      <c r="C20" s="21"/>
    </row>
    <row r="22" spans="1:29" x14ac:dyDescent="0.3">
      <c r="A22" s="67" t="s">
        <v>0</v>
      </c>
      <c r="B22" s="67" t="s">
        <v>1</v>
      </c>
      <c r="C22" s="67" t="s">
        <v>2</v>
      </c>
      <c r="D22" s="67" t="s">
        <v>3</v>
      </c>
      <c r="E22" s="67" t="s">
        <v>4</v>
      </c>
      <c r="F22" s="67" t="s">
        <v>5</v>
      </c>
      <c r="G22" s="67" t="s">
        <v>6</v>
      </c>
      <c r="H22" s="67" t="s">
        <v>7</v>
      </c>
      <c r="I22" s="67" t="s">
        <v>8</v>
      </c>
      <c r="J22" s="67" t="s">
        <v>9</v>
      </c>
      <c r="K22" s="67" t="s">
        <v>10</v>
      </c>
      <c r="L22" s="67" t="s">
        <v>11</v>
      </c>
      <c r="M22" s="67" t="s">
        <v>12</v>
      </c>
      <c r="N22" s="67" t="s">
        <v>47</v>
      </c>
      <c r="O22" s="67" t="s">
        <v>45</v>
      </c>
      <c r="P22" s="67" t="s">
        <v>13</v>
      </c>
      <c r="Q22" s="67" t="s">
        <v>14</v>
      </c>
      <c r="R22" s="67" t="s">
        <v>15</v>
      </c>
      <c r="S22" s="67" t="s">
        <v>16</v>
      </c>
      <c r="T22" s="67" t="s">
        <v>17</v>
      </c>
      <c r="U22" s="67" t="s">
        <v>18</v>
      </c>
      <c r="V22" s="67" t="s">
        <v>19</v>
      </c>
      <c r="W22" s="67" t="s">
        <v>20</v>
      </c>
      <c r="X22" s="67" t="s">
        <v>21</v>
      </c>
      <c r="Y22" s="67" t="s">
        <v>46</v>
      </c>
      <c r="Z22" s="67" t="s">
        <v>24</v>
      </c>
      <c r="AA22" s="67" t="s">
        <v>23</v>
      </c>
      <c r="AB22" s="67" t="s">
        <v>22</v>
      </c>
      <c r="AC22" s="67" t="s">
        <v>25</v>
      </c>
    </row>
    <row r="23" spans="1:29" x14ac:dyDescent="0.3">
      <c r="A23" s="46" t="s">
        <v>30</v>
      </c>
      <c r="B23" s="46">
        <v>2022</v>
      </c>
      <c r="C23" s="46" t="s">
        <v>28</v>
      </c>
      <c r="D23" s="46">
        <v>149.5</v>
      </c>
      <c r="E23" s="46">
        <v>198.7</v>
      </c>
      <c r="F23" s="46">
        <v>178.8</v>
      </c>
      <c r="G23" s="46">
        <v>160.5</v>
      </c>
      <c r="H23" s="46">
        <v>184.7</v>
      </c>
      <c r="I23" s="46">
        <v>153.69999999999999</v>
      </c>
      <c r="J23" s="46">
        <v>174.3</v>
      </c>
      <c r="K23" s="46">
        <v>163.9</v>
      </c>
      <c r="L23" s="46">
        <v>120</v>
      </c>
      <c r="M23" s="46">
        <v>172.1</v>
      </c>
      <c r="N23" s="46">
        <v>164.3</v>
      </c>
      <c r="O23" s="46">
        <v>177.3</v>
      </c>
      <c r="P23" s="46">
        <v>166.4</v>
      </c>
      <c r="Q23" s="46">
        <v>192.2</v>
      </c>
      <c r="R23" s="46">
        <v>169.9</v>
      </c>
      <c r="S23" s="46">
        <v>160.69999999999999</v>
      </c>
      <c r="T23" s="46">
        <v>168.5</v>
      </c>
      <c r="U23" s="46">
        <v>164.5</v>
      </c>
      <c r="V23" s="46">
        <v>164.2</v>
      </c>
      <c r="W23" s="46">
        <v>161.1</v>
      </c>
      <c r="X23" s="46">
        <v>171.4</v>
      </c>
      <c r="Y23" s="46">
        <v>163</v>
      </c>
      <c r="Z23" s="46">
        <v>164.7</v>
      </c>
      <c r="AA23" s="46">
        <v>161.19999999999999</v>
      </c>
      <c r="AB23" s="46">
        <v>156.5</v>
      </c>
      <c r="AC23" s="46">
        <v>162.69999999999999</v>
      </c>
    </row>
    <row r="24" spans="1:29" x14ac:dyDescent="0.3">
      <c r="A24" s="46" t="s">
        <v>30</v>
      </c>
      <c r="B24" s="46">
        <v>2022</v>
      </c>
      <c r="C24" s="46" t="s">
        <v>31</v>
      </c>
      <c r="D24" s="46">
        <v>150</v>
      </c>
      <c r="E24" s="46">
        <v>200.6</v>
      </c>
      <c r="F24" s="46">
        <v>175.8</v>
      </c>
      <c r="G24" s="46">
        <v>160.69999999999999</v>
      </c>
      <c r="H24" s="46">
        <v>184.9</v>
      </c>
      <c r="I24" s="46">
        <v>153.69999999999999</v>
      </c>
      <c r="J24" s="46">
        <v>169.7</v>
      </c>
      <c r="K24" s="46">
        <v>163.69999999999999</v>
      </c>
      <c r="L24" s="46">
        <v>118.9</v>
      </c>
      <c r="M24" s="46">
        <v>174.3</v>
      </c>
      <c r="N24" s="46">
        <v>164.7</v>
      </c>
      <c r="O24" s="46">
        <v>178</v>
      </c>
      <c r="P24" s="46">
        <v>166.2</v>
      </c>
      <c r="Q24" s="46">
        <v>192.8</v>
      </c>
      <c r="R24" s="46">
        <v>170.8</v>
      </c>
      <c r="S24" s="46">
        <v>162.4</v>
      </c>
      <c r="T24" s="46">
        <v>169.6</v>
      </c>
      <c r="U24" s="46">
        <v>165.5</v>
      </c>
      <c r="V24" s="46">
        <v>165.7</v>
      </c>
      <c r="W24" s="46">
        <v>161.80000000000001</v>
      </c>
      <c r="X24" s="46">
        <v>172.2</v>
      </c>
      <c r="Y24" s="46">
        <v>164.4</v>
      </c>
      <c r="Z24" s="46">
        <v>165.4</v>
      </c>
      <c r="AA24" s="46">
        <v>162.1</v>
      </c>
      <c r="AB24" s="46">
        <v>156.9</v>
      </c>
      <c r="AC24" s="46">
        <v>163.5</v>
      </c>
    </row>
    <row r="25" spans="1:29" x14ac:dyDescent="0.3">
      <c r="A25" s="46" t="s">
        <v>30</v>
      </c>
      <c r="B25" s="46">
        <v>2022</v>
      </c>
      <c r="C25" s="46" t="s">
        <v>32</v>
      </c>
      <c r="D25" s="46">
        <v>151.30000000000001</v>
      </c>
      <c r="E25" s="46">
        <v>210.7</v>
      </c>
      <c r="F25" s="46">
        <v>167.8</v>
      </c>
      <c r="G25" s="46">
        <v>162.19999999999999</v>
      </c>
      <c r="H25" s="46">
        <v>194.6</v>
      </c>
      <c r="I25" s="46">
        <v>157.6</v>
      </c>
      <c r="J25" s="46">
        <v>166.9</v>
      </c>
      <c r="K25" s="46">
        <v>163.9</v>
      </c>
      <c r="L25" s="46">
        <v>118.8</v>
      </c>
      <c r="M25" s="46">
        <v>177.4</v>
      </c>
      <c r="N25" s="46">
        <v>165.3</v>
      </c>
      <c r="O25" s="46">
        <v>179.3</v>
      </c>
      <c r="P25" s="46">
        <v>168.4</v>
      </c>
      <c r="Q25" s="46">
        <v>193.7</v>
      </c>
      <c r="R25" s="46">
        <v>172.1</v>
      </c>
      <c r="S25" s="46">
        <v>164.6</v>
      </c>
      <c r="T25" s="46">
        <v>171.1</v>
      </c>
      <c r="U25" s="46">
        <v>165.3</v>
      </c>
      <c r="V25" s="46">
        <v>167.2</v>
      </c>
      <c r="W25" s="46">
        <v>162.80000000000001</v>
      </c>
      <c r="X25" s="46">
        <v>173</v>
      </c>
      <c r="Y25" s="46">
        <v>167.2</v>
      </c>
      <c r="Z25" s="46">
        <v>166</v>
      </c>
      <c r="AA25" s="46">
        <v>163.30000000000001</v>
      </c>
      <c r="AB25" s="46">
        <v>157.9</v>
      </c>
      <c r="AC25" s="46">
        <v>164.6</v>
      </c>
    </row>
    <row r="26" spans="1:29" x14ac:dyDescent="0.3">
      <c r="A26" s="46" t="s">
        <v>30</v>
      </c>
      <c r="B26" s="46">
        <v>2022</v>
      </c>
      <c r="C26" s="46" t="s">
        <v>33</v>
      </c>
      <c r="D26" s="46">
        <v>152.9</v>
      </c>
      <c r="E26" s="46">
        <v>211.8</v>
      </c>
      <c r="F26" s="46">
        <v>164.5</v>
      </c>
      <c r="G26" s="46">
        <v>163.9</v>
      </c>
      <c r="H26" s="46">
        <v>199.5</v>
      </c>
      <c r="I26" s="46">
        <v>172.6</v>
      </c>
      <c r="J26" s="46">
        <v>166.2</v>
      </c>
      <c r="K26" s="46">
        <v>164.7</v>
      </c>
      <c r="L26" s="46">
        <v>119</v>
      </c>
      <c r="M26" s="46">
        <v>181.3</v>
      </c>
      <c r="N26" s="46">
        <v>166.2</v>
      </c>
      <c r="O26" s="46">
        <v>180.9</v>
      </c>
      <c r="P26" s="46">
        <v>170.8</v>
      </c>
      <c r="Q26" s="46">
        <v>193.9</v>
      </c>
      <c r="R26" s="46">
        <v>173.9</v>
      </c>
      <c r="S26" s="46">
        <v>166.5</v>
      </c>
      <c r="T26" s="46">
        <v>172.8</v>
      </c>
      <c r="U26" s="46">
        <v>167</v>
      </c>
      <c r="V26" s="46">
        <v>172.2</v>
      </c>
      <c r="W26" s="46">
        <v>164</v>
      </c>
      <c r="X26" s="46">
        <v>174</v>
      </c>
      <c r="Y26" s="46">
        <v>168.8</v>
      </c>
      <c r="Z26" s="46">
        <v>166.9</v>
      </c>
      <c r="AA26" s="46">
        <v>164.4</v>
      </c>
      <c r="AB26" s="46">
        <v>162.6</v>
      </c>
      <c r="AC26" s="46">
        <v>166.8</v>
      </c>
    </row>
    <row r="27" spans="1:29" x14ac:dyDescent="0.3">
      <c r="A27" s="46" t="s">
        <v>30</v>
      </c>
      <c r="B27" s="46">
        <v>2022</v>
      </c>
      <c r="C27" s="46" t="s">
        <v>34</v>
      </c>
      <c r="D27" s="46">
        <v>154.1</v>
      </c>
      <c r="E27" s="46">
        <v>217</v>
      </c>
      <c r="F27" s="46">
        <v>162.4</v>
      </c>
      <c r="G27" s="46">
        <v>164.9</v>
      </c>
      <c r="H27" s="46">
        <v>202.4</v>
      </c>
      <c r="I27" s="46">
        <v>171</v>
      </c>
      <c r="J27" s="46">
        <v>174.9</v>
      </c>
      <c r="K27" s="46">
        <v>164.7</v>
      </c>
      <c r="L27" s="46">
        <v>119.7</v>
      </c>
      <c r="M27" s="46">
        <v>184.9</v>
      </c>
      <c r="N27" s="46">
        <v>167.1</v>
      </c>
      <c r="O27" s="46">
        <v>182.5</v>
      </c>
      <c r="P27" s="46">
        <v>173.3</v>
      </c>
      <c r="Q27" s="46">
        <v>194.1</v>
      </c>
      <c r="R27" s="46">
        <v>175.6</v>
      </c>
      <c r="S27" s="46">
        <v>168.4</v>
      </c>
      <c r="T27" s="46">
        <v>174.6</v>
      </c>
      <c r="U27" s="46">
        <v>167.5</v>
      </c>
      <c r="V27" s="46">
        <v>174.6</v>
      </c>
      <c r="W27" s="46">
        <v>165.2</v>
      </c>
      <c r="X27" s="46">
        <v>174.8</v>
      </c>
      <c r="Y27" s="46">
        <v>168.4</v>
      </c>
      <c r="Z27" s="46">
        <v>167.9</v>
      </c>
      <c r="AA27" s="46">
        <v>165.1</v>
      </c>
      <c r="AB27" s="46">
        <v>163</v>
      </c>
      <c r="AC27" s="46">
        <v>167.5</v>
      </c>
    </row>
    <row r="28" spans="1:29" x14ac:dyDescent="0.3">
      <c r="A28" s="46" t="s">
        <v>30</v>
      </c>
      <c r="B28" s="46">
        <v>2022</v>
      </c>
      <c r="C28" s="46" t="s">
        <v>35</v>
      </c>
      <c r="D28" s="46">
        <v>155</v>
      </c>
      <c r="E28" s="46">
        <v>219.4</v>
      </c>
      <c r="F28" s="46">
        <v>170.8</v>
      </c>
      <c r="G28" s="46">
        <v>165.8</v>
      </c>
      <c r="H28" s="46">
        <v>200.9</v>
      </c>
      <c r="I28" s="46">
        <v>169.7</v>
      </c>
      <c r="J28" s="46">
        <v>182.3</v>
      </c>
      <c r="K28" s="46">
        <v>164.3</v>
      </c>
      <c r="L28" s="46">
        <v>119.9</v>
      </c>
      <c r="M28" s="46">
        <v>187.1</v>
      </c>
      <c r="N28" s="46">
        <v>167.9</v>
      </c>
      <c r="O28" s="46">
        <v>183.9</v>
      </c>
      <c r="P28" s="46">
        <v>174.9</v>
      </c>
      <c r="Q28" s="46">
        <v>194.3</v>
      </c>
      <c r="R28" s="46">
        <v>177.1</v>
      </c>
      <c r="S28" s="46">
        <v>169.9</v>
      </c>
      <c r="T28" s="46">
        <v>176</v>
      </c>
      <c r="U28" s="46">
        <v>166.8</v>
      </c>
      <c r="V28" s="46">
        <v>176</v>
      </c>
      <c r="W28" s="46">
        <v>166.4</v>
      </c>
      <c r="X28" s="46">
        <v>175.4</v>
      </c>
      <c r="Y28" s="46">
        <v>169.4</v>
      </c>
      <c r="Z28" s="46">
        <v>169</v>
      </c>
      <c r="AA28" s="46">
        <v>165.8</v>
      </c>
      <c r="AB28" s="46">
        <v>161.1</v>
      </c>
      <c r="AC28" s="46">
        <v>167.5</v>
      </c>
    </row>
    <row r="29" spans="1:29" x14ac:dyDescent="0.3">
      <c r="A29" s="46" t="s">
        <v>30</v>
      </c>
      <c r="B29" s="46">
        <v>2022</v>
      </c>
      <c r="C29" s="46" t="s">
        <v>36</v>
      </c>
      <c r="D29" s="46">
        <v>156.5</v>
      </c>
      <c r="E29" s="46">
        <v>213</v>
      </c>
      <c r="F29" s="46">
        <v>175.2</v>
      </c>
      <c r="G29" s="46">
        <v>166.6</v>
      </c>
      <c r="H29" s="46">
        <v>195.8</v>
      </c>
      <c r="I29" s="46">
        <v>174.2</v>
      </c>
      <c r="J29" s="46">
        <v>182.1</v>
      </c>
      <c r="K29" s="46">
        <v>164.3</v>
      </c>
      <c r="L29" s="46">
        <v>120</v>
      </c>
      <c r="M29" s="46">
        <v>190</v>
      </c>
      <c r="N29" s="46">
        <v>168.4</v>
      </c>
      <c r="O29" s="46">
        <v>185.2</v>
      </c>
      <c r="P29" s="46">
        <v>175</v>
      </c>
      <c r="Q29" s="46">
        <v>194.6</v>
      </c>
      <c r="R29" s="46">
        <v>178.3</v>
      </c>
      <c r="S29" s="46">
        <v>171.3</v>
      </c>
      <c r="T29" s="46">
        <v>177.3</v>
      </c>
      <c r="U29" s="46">
        <v>167.8</v>
      </c>
      <c r="V29" s="46">
        <v>179.6</v>
      </c>
      <c r="W29" s="46">
        <v>167.4</v>
      </c>
      <c r="X29" s="46">
        <v>176.1</v>
      </c>
      <c r="Y29" s="46">
        <v>169.7</v>
      </c>
      <c r="Z29" s="46">
        <v>171.4</v>
      </c>
      <c r="AA29" s="46">
        <v>166.3</v>
      </c>
      <c r="AB29" s="46">
        <v>161.6</v>
      </c>
      <c r="AC29" s="46">
        <v>168.4</v>
      </c>
    </row>
    <row r="30" spans="1:29" x14ac:dyDescent="0.3">
      <c r="A30" s="46" t="s">
        <v>30</v>
      </c>
      <c r="B30" s="46">
        <v>2022</v>
      </c>
      <c r="C30" s="46" t="s">
        <v>37</v>
      </c>
      <c r="D30" s="46">
        <v>160.30000000000001</v>
      </c>
      <c r="E30" s="46">
        <v>206.5</v>
      </c>
      <c r="F30" s="46">
        <v>169.2</v>
      </c>
      <c r="G30" s="46">
        <v>168.1</v>
      </c>
      <c r="H30" s="46">
        <v>192.4</v>
      </c>
      <c r="I30" s="46">
        <v>172.9</v>
      </c>
      <c r="J30" s="46">
        <v>186.7</v>
      </c>
      <c r="K30" s="46">
        <v>167.2</v>
      </c>
      <c r="L30" s="46">
        <v>120.9</v>
      </c>
      <c r="M30" s="46">
        <v>193.6</v>
      </c>
      <c r="N30" s="46">
        <v>168.8</v>
      </c>
      <c r="O30" s="46">
        <v>186.3</v>
      </c>
      <c r="P30" s="46">
        <v>176.3</v>
      </c>
      <c r="Q30" s="46">
        <v>195</v>
      </c>
      <c r="R30" s="46">
        <v>179.5</v>
      </c>
      <c r="S30" s="46">
        <v>172.7</v>
      </c>
      <c r="T30" s="46">
        <v>178.5</v>
      </c>
      <c r="U30" s="46">
        <v>169</v>
      </c>
      <c r="V30" s="46">
        <v>178.8</v>
      </c>
      <c r="W30" s="46">
        <v>168.5</v>
      </c>
      <c r="X30" s="46">
        <v>176.8</v>
      </c>
      <c r="Y30" s="46">
        <v>171.2</v>
      </c>
      <c r="Z30" s="46">
        <v>172.3</v>
      </c>
      <c r="AA30" s="46">
        <v>166.9</v>
      </c>
      <c r="AB30" s="46">
        <v>161.9</v>
      </c>
      <c r="AC30" s="46">
        <v>169.1</v>
      </c>
    </row>
    <row r="31" spans="1:29" x14ac:dyDescent="0.3">
      <c r="A31" s="46" t="s">
        <v>30</v>
      </c>
      <c r="B31" s="46">
        <v>2022</v>
      </c>
      <c r="C31" s="46" t="s">
        <v>38</v>
      </c>
      <c r="D31" s="46">
        <v>163.5</v>
      </c>
      <c r="E31" s="46">
        <v>209.2</v>
      </c>
      <c r="F31" s="46">
        <v>169.7</v>
      </c>
      <c r="G31" s="46">
        <v>169.7</v>
      </c>
      <c r="H31" s="46">
        <v>188.7</v>
      </c>
      <c r="I31" s="46">
        <v>165.7</v>
      </c>
      <c r="J31" s="46">
        <v>191.8</v>
      </c>
      <c r="K31" s="46">
        <v>169.1</v>
      </c>
      <c r="L31" s="46">
        <v>121.6</v>
      </c>
      <c r="M31" s="46">
        <v>197.3</v>
      </c>
      <c r="N31" s="46">
        <v>169.4</v>
      </c>
      <c r="O31" s="46">
        <v>187.4</v>
      </c>
      <c r="P31" s="46">
        <v>177.8</v>
      </c>
      <c r="Q31" s="46">
        <v>195.9</v>
      </c>
      <c r="R31" s="46">
        <v>180.9</v>
      </c>
      <c r="S31" s="46">
        <v>174.3</v>
      </c>
      <c r="T31" s="46">
        <v>179.9</v>
      </c>
      <c r="U31" s="46">
        <v>169.5</v>
      </c>
      <c r="V31" s="46">
        <v>179.5</v>
      </c>
      <c r="W31" s="46">
        <v>169.5</v>
      </c>
      <c r="X31" s="46">
        <v>177.8</v>
      </c>
      <c r="Y31" s="46">
        <v>170.9</v>
      </c>
      <c r="Z31" s="46">
        <v>173.1</v>
      </c>
      <c r="AA31" s="46">
        <v>167.6</v>
      </c>
      <c r="AB31" s="46">
        <v>162.30000000000001</v>
      </c>
      <c r="AC31" s="46">
        <v>169.7</v>
      </c>
    </row>
    <row r="32" spans="1:29" x14ac:dyDescent="0.3">
      <c r="A32" s="46" t="s">
        <v>30</v>
      </c>
      <c r="B32" s="46">
        <v>2022</v>
      </c>
      <c r="C32" s="46" t="s">
        <v>39</v>
      </c>
      <c r="D32" s="46">
        <v>165.2</v>
      </c>
      <c r="E32" s="46">
        <v>210.9</v>
      </c>
      <c r="F32" s="46">
        <v>170.9</v>
      </c>
      <c r="G32" s="46">
        <v>170.9</v>
      </c>
      <c r="H32" s="46">
        <v>186.5</v>
      </c>
      <c r="I32" s="46">
        <v>163.80000000000001</v>
      </c>
      <c r="J32" s="46">
        <v>199.7</v>
      </c>
      <c r="K32" s="46">
        <v>169.8</v>
      </c>
      <c r="L32" s="46">
        <v>121.9</v>
      </c>
      <c r="M32" s="46">
        <v>199.9</v>
      </c>
      <c r="N32" s="46">
        <v>169.9</v>
      </c>
      <c r="O32" s="46">
        <v>188.3</v>
      </c>
      <c r="P32" s="46">
        <v>179.6</v>
      </c>
      <c r="Q32" s="46">
        <v>196.3</v>
      </c>
      <c r="R32" s="46">
        <v>181.9</v>
      </c>
      <c r="S32" s="46">
        <v>175.3</v>
      </c>
      <c r="T32" s="46">
        <v>181</v>
      </c>
      <c r="U32" s="46">
        <v>171.2</v>
      </c>
      <c r="V32" s="46">
        <v>180.5</v>
      </c>
      <c r="W32" s="46">
        <v>170.4</v>
      </c>
      <c r="X32" s="46">
        <v>178.7</v>
      </c>
      <c r="Y32" s="46">
        <v>172.1</v>
      </c>
      <c r="Z32" s="46">
        <v>173.4</v>
      </c>
      <c r="AA32" s="46">
        <v>168.2</v>
      </c>
      <c r="AB32" s="46">
        <v>162.9</v>
      </c>
      <c r="AC32" s="46">
        <v>170.5</v>
      </c>
    </row>
    <row r="33" spans="1:29" x14ac:dyDescent="0.3">
      <c r="A33" s="46" t="s">
        <v>30</v>
      </c>
      <c r="B33" s="46">
        <v>2022</v>
      </c>
      <c r="C33" s="46" t="s">
        <v>41</v>
      </c>
      <c r="D33" s="46">
        <v>167.4</v>
      </c>
      <c r="E33" s="46">
        <v>209.4</v>
      </c>
      <c r="F33" s="46">
        <v>181.4</v>
      </c>
      <c r="G33" s="46">
        <v>172.3</v>
      </c>
      <c r="H33" s="46">
        <v>188.9</v>
      </c>
      <c r="I33" s="46">
        <v>160.69999999999999</v>
      </c>
      <c r="J33" s="46">
        <v>183.1</v>
      </c>
      <c r="K33" s="46">
        <v>170.5</v>
      </c>
      <c r="L33" s="46">
        <v>122.1</v>
      </c>
      <c r="M33" s="46">
        <v>202.8</v>
      </c>
      <c r="N33" s="46">
        <v>170.4</v>
      </c>
      <c r="O33" s="46">
        <v>189.5</v>
      </c>
      <c r="P33" s="46">
        <v>178.3</v>
      </c>
      <c r="Q33" s="46">
        <v>196.9</v>
      </c>
      <c r="R33" s="46">
        <v>183.1</v>
      </c>
      <c r="S33" s="46">
        <v>176.2</v>
      </c>
      <c r="T33" s="46">
        <v>182.1</v>
      </c>
      <c r="U33" s="46">
        <v>171.8</v>
      </c>
      <c r="V33" s="46">
        <v>181.3</v>
      </c>
      <c r="W33" s="46">
        <v>171.4</v>
      </c>
      <c r="X33" s="46">
        <v>179.8</v>
      </c>
      <c r="Y33" s="46">
        <v>173.6</v>
      </c>
      <c r="Z33" s="46">
        <v>173.7</v>
      </c>
      <c r="AA33" s="46">
        <v>168.5</v>
      </c>
      <c r="AB33" s="46">
        <v>163</v>
      </c>
      <c r="AC33" s="46">
        <v>171.1</v>
      </c>
    </row>
    <row r="34" spans="1:29" x14ac:dyDescent="0.3">
      <c r="A34" s="46" t="s">
        <v>30</v>
      </c>
      <c r="B34" s="46">
        <v>2022</v>
      </c>
      <c r="C34" s="46" t="s">
        <v>42</v>
      </c>
      <c r="D34" s="46">
        <v>169.2</v>
      </c>
      <c r="E34" s="46">
        <v>209</v>
      </c>
      <c r="F34" s="46">
        <v>190.2</v>
      </c>
      <c r="G34" s="46">
        <v>173.6</v>
      </c>
      <c r="H34" s="46">
        <v>188.5</v>
      </c>
      <c r="I34" s="46">
        <v>158</v>
      </c>
      <c r="J34" s="46">
        <v>159.9</v>
      </c>
      <c r="K34" s="46">
        <v>170.8</v>
      </c>
      <c r="L34" s="46">
        <v>121.8</v>
      </c>
      <c r="M34" s="46">
        <v>205.2</v>
      </c>
      <c r="N34" s="46">
        <v>171</v>
      </c>
      <c r="O34" s="46">
        <v>190.3</v>
      </c>
      <c r="P34" s="46">
        <v>175.9</v>
      </c>
      <c r="Q34" s="46">
        <v>197.3</v>
      </c>
      <c r="R34" s="46">
        <v>184</v>
      </c>
      <c r="S34" s="46">
        <v>177</v>
      </c>
      <c r="T34" s="46">
        <v>183</v>
      </c>
      <c r="U34" s="46">
        <v>170.7</v>
      </c>
      <c r="V34" s="46">
        <v>182</v>
      </c>
      <c r="W34" s="46">
        <v>172.1</v>
      </c>
      <c r="X34" s="46">
        <v>181.1</v>
      </c>
      <c r="Y34" s="46">
        <v>175.8</v>
      </c>
      <c r="Z34" s="46">
        <v>174.1</v>
      </c>
      <c r="AA34" s="46">
        <v>168.9</v>
      </c>
      <c r="AB34" s="46">
        <v>163.4</v>
      </c>
      <c r="AC34" s="46">
        <v>172</v>
      </c>
    </row>
    <row r="35" spans="1:29" x14ac:dyDescent="0.3">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row>
    <row r="36" spans="1:29" x14ac:dyDescent="0.3">
      <c r="A36" s="46"/>
      <c r="B36" s="46"/>
      <c r="C36" s="68" t="s">
        <v>53</v>
      </c>
      <c r="D36" s="66">
        <f t="shared" ref="D36:AC36" si="1">(D34-D23)/D23</f>
        <v>0.13177257525083605</v>
      </c>
      <c r="E36" s="64">
        <f t="shared" si="1"/>
        <v>5.1836940110719737E-2</v>
      </c>
      <c r="F36" s="64">
        <f t="shared" si="1"/>
        <v>6.3758389261744833E-2</v>
      </c>
      <c r="G36" s="64">
        <f t="shared" si="1"/>
        <v>8.161993769470402E-2</v>
      </c>
      <c r="H36" s="64">
        <f t="shared" si="1"/>
        <v>2.0573903627504123E-2</v>
      </c>
      <c r="I36" s="64">
        <f t="shared" si="1"/>
        <v>2.7976577748861493E-2</v>
      </c>
      <c r="J36" s="64">
        <f t="shared" si="1"/>
        <v>-8.2616179001721204E-2</v>
      </c>
      <c r="K36" s="64">
        <f t="shared" si="1"/>
        <v>4.2098840756558911E-2</v>
      </c>
      <c r="L36" s="64">
        <f t="shared" si="1"/>
        <v>1.4999999999999977E-2</v>
      </c>
      <c r="M36" s="66">
        <f t="shared" si="1"/>
        <v>0.1923300406740267</v>
      </c>
      <c r="N36" s="64">
        <f t="shared" si="1"/>
        <v>4.0779062690200783E-2</v>
      </c>
      <c r="O36" s="64">
        <f t="shared" si="1"/>
        <v>7.3322053017484484E-2</v>
      </c>
      <c r="P36" s="64">
        <f t="shared" si="1"/>
        <v>5.7091346153846152E-2</v>
      </c>
      <c r="Q36" s="64">
        <f t="shared" si="1"/>
        <v>2.6534859521332065E-2</v>
      </c>
      <c r="R36" s="64">
        <f t="shared" si="1"/>
        <v>8.2989994114184784E-2</v>
      </c>
      <c r="S36" s="64">
        <f t="shared" si="1"/>
        <v>0.10143123833229628</v>
      </c>
      <c r="T36" s="64">
        <f t="shared" si="1"/>
        <v>8.6053412462908013E-2</v>
      </c>
      <c r="U36" s="64">
        <f t="shared" si="1"/>
        <v>3.7689969604863149E-2</v>
      </c>
      <c r="V36" s="66">
        <f t="shared" si="1"/>
        <v>0.1084043848964678</v>
      </c>
      <c r="W36" s="64">
        <f t="shared" si="1"/>
        <v>6.8280571073867161E-2</v>
      </c>
      <c r="X36" s="64">
        <f t="shared" si="1"/>
        <v>5.6592765460910084E-2</v>
      </c>
      <c r="Y36" s="64">
        <f t="shared" si="1"/>
        <v>7.8527607361963264E-2</v>
      </c>
      <c r="Z36" s="64">
        <f t="shared" si="1"/>
        <v>5.7073466909532522E-2</v>
      </c>
      <c r="AA36" s="64">
        <f t="shared" si="1"/>
        <v>4.7766749379652716E-2</v>
      </c>
      <c r="AB36" s="64">
        <f t="shared" si="1"/>
        <v>4.408945686900962E-2</v>
      </c>
      <c r="AC36" s="64">
        <f t="shared" si="1"/>
        <v>5.716041794714205E-2</v>
      </c>
    </row>
    <row r="39" spans="1:29" ht="15.6" x14ac:dyDescent="0.3">
      <c r="A39" s="13" t="s">
        <v>63</v>
      </c>
    </row>
  </sheetData>
  <conditionalFormatting sqref="A4:D11">
    <cfRule type="containsText" dxfId="39" priority="1" operator="containsText" text="&quot;blanks&quot;">
      <formula>NOT(ISERROR(SEARCH("""blanks""",A4)))</formula>
    </cfRule>
  </conditionalFormatting>
  <conditionalFormatting sqref="A3:E3">
    <cfRule type="containsText" dxfId="38" priority="5" operator="containsText" text="&quot;blanks&quot;">
      <formula>NOT(ISERROR(SEARCH("""blanks""",A3)))</formula>
    </cfRule>
  </conditionalFormatting>
  <conditionalFormatting sqref="A22:AC34">
    <cfRule type="containsText" dxfId="37" priority="2" operator="containsText" text="&quot;blanks&quot;">
      <formula>NOT(ISERROR(SEARCH("""blanks""",A22)))</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87A1-FD54-4677-82EC-5214EBDDEB0C}">
  <dimension ref="A1:Y42"/>
  <sheetViews>
    <sheetView workbookViewId="0">
      <selection activeCell="G13" sqref="G13"/>
    </sheetView>
  </sheetViews>
  <sheetFormatPr defaultRowHeight="14.4" x14ac:dyDescent="0.3"/>
  <cols>
    <col min="1" max="1" width="8.5546875" bestFit="1" customWidth="1"/>
    <col min="2" max="2" width="6.88671875" bestFit="1" customWidth="1"/>
    <col min="3" max="3" width="9" bestFit="1" customWidth="1"/>
    <col min="4" max="4" width="12.21875" bestFit="1" customWidth="1"/>
    <col min="5" max="5" width="20.33203125" bestFit="1" customWidth="1"/>
    <col min="9" max="9" width="7.109375" bestFit="1" customWidth="1"/>
    <col min="10" max="10" width="7.21875" customWidth="1"/>
    <col min="11" max="11" width="6.77734375" bestFit="1" customWidth="1"/>
    <col min="12" max="12" width="10" bestFit="1" customWidth="1"/>
    <col min="13" max="13" width="18.77734375" bestFit="1" customWidth="1"/>
    <col min="14" max="14" width="12.5546875" bestFit="1" customWidth="1"/>
    <col min="15" max="15" width="4" bestFit="1" customWidth="1"/>
    <col min="16" max="16" width="16.33203125" bestFit="1" customWidth="1"/>
    <col min="17" max="17" width="11.21875" bestFit="1" customWidth="1"/>
    <col min="18" max="18" width="5.5546875" bestFit="1" customWidth="1"/>
    <col min="19" max="19" width="10.21875" bestFit="1" customWidth="1"/>
    <col min="20" max="20" width="18" bestFit="1" customWidth="1"/>
    <col min="21" max="21" width="22.109375" bestFit="1" customWidth="1"/>
    <col min="22" max="22" width="6.21875" bestFit="1" customWidth="1"/>
    <col min="23" max="23" width="21.33203125" bestFit="1" customWidth="1"/>
    <col min="24" max="24" width="29.109375" bestFit="1" customWidth="1"/>
    <col min="25" max="25" width="18.109375" bestFit="1" customWidth="1"/>
  </cols>
  <sheetData>
    <row r="1" spans="1:25" ht="18" x14ac:dyDescent="0.35">
      <c r="A1" s="75" t="s">
        <v>159</v>
      </c>
    </row>
    <row r="3" spans="1:25" x14ac:dyDescent="0.3">
      <c r="A3" s="1" t="s">
        <v>0</v>
      </c>
      <c r="B3" s="1" t="s">
        <v>1</v>
      </c>
      <c r="C3" s="1" t="s">
        <v>2</v>
      </c>
      <c r="D3" s="1" t="s">
        <v>44</v>
      </c>
      <c r="E3" s="1" t="s">
        <v>50</v>
      </c>
      <c r="I3" s="1" t="s">
        <v>57</v>
      </c>
      <c r="J3" s="1" t="s">
        <v>1</v>
      </c>
      <c r="K3" s="1" t="s">
        <v>2</v>
      </c>
      <c r="L3" s="1" t="s">
        <v>44</v>
      </c>
      <c r="M3" s="1" t="s">
        <v>3</v>
      </c>
      <c r="N3" s="1" t="s">
        <v>4</v>
      </c>
      <c r="O3" s="1" t="s">
        <v>5</v>
      </c>
      <c r="P3" s="1" t="s">
        <v>6</v>
      </c>
      <c r="Q3" s="1" t="s">
        <v>7</v>
      </c>
      <c r="R3" s="1" t="s">
        <v>8</v>
      </c>
      <c r="S3" s="1" t="s">
        <v>9</v>
      </c>
      <c r="T3" s="1" t="s">
        <v>10</v>
      </c>
      <c r="U3" s="1" t="s">
        <v>11</v>
      </c>
      <c r="V3" s="1" t="s">
        <v>12</v>
      </c>
      <c r="W3" s="1" t="s">
        <v>47</v>
      </c>
      <c r="X3" s="1" t="s">
        <v>45</v>
      </c>
      <c r="Y3" s="1" t="s">
        <v>13</v>
      </c>
    </row>
    <row r="4" spans="1:25" x14ac:dyDescent="0.3">
      <c r="A4" t="s">
        <v>27</v>
      </c>
      <c r="B4">
        <v>2022</v>
      </c>
      <c r="C4" t="s">
        <v>34</v>
      </c>
      <c r="D4">
        <v>5</v>
      </c>
      <c r="E4">
        <v>2226.8000000000002</v>
      </c>
      <c r="I4" t="s">
        <v>27</v>
      </c>
      <c r="J4">
        <v>2022</v>
      </c>
      <c r="K4" t="s">
        <v>34</v>
      </c>
      <c r="L4">
        <f t="shared" ref="L4:L6" si="0">IF(K4="January",1,
IF(K4="february",2,
IF(K4="march",3,
IF(K4="april",4,
IF(K4="may",5,
IF(K4="june",6,
IF(K4="july",7,
IF(K4="august",8,
IF(K4="september",9,
IF(K4="october",10,
IF(K4="november",11,
IF(K4="december",12,
))))))))))))</f>
        <v>5</v>
      </c>
      <c r="M4">
        <v>152.9</v>
      </c>
      <c r="N4">
        <v>214.7</v>
      </c>
      <c r="O4">
        <v>161.4</v>
      </c>
      <c r="P4">
        <v>164.6</v>
      </c>
      <c r="Q4">
        <v>209.9</v>
      </c>
      <c r="R4">
        <v>168</v>
      </c>
      <c r="S4">
        <v>160.4</v>
      </c>
      <c r="T4">
        <v>165</v>
      </c>
      <c r="U4">
        <v>118.9</v>
      </c>
      <c r="V4">
        <v>186.6</v>
      </c>
      <c r="W4">
        <v>173.2</v>
      </c>
      <c r="X4">
        <v>180.4</v>
      </c>
      <c r="Y4">
        <v>170.8</v>
      </c>
    </row>
    <row r="5" spans="1:25" x14ac:dyDescent="0.3">
      <c r="A5" t="s">
        <v>30</v>
      </c>
      <c r="B5">
        <v>2022</v>
      </c>
      <c r="C5" t="s">
        <v>34</v>
      </c>
      <c r="D5">
        <v>5</v>
      </c>
      <c r="E5">
        <v>2238.9000000000005</v>
      </c>
      <c r="I5" t="s">
        <v>30</v>
      </c>
      <c r="J5">
        <v>2022</v>
      </c>
      <c r="K5" t="s">
        <v>34</v>
      </c>
      <c r="L5">
        <f t="shared" si="0"/>
        <v>5</v>
      </c>
      <c r="M5">
        <v>154.1</v>
      </c>
      <c r="N5">
        <v>217</v>
      </c>
      <c r="O5">
        <v>162.4</v>
      </c>
      <c r="P5">
        <v>164.9</v>
      </c>
      <c r="Q5">
        <v>202.4</v>
      </c>
      <c r="R5">
        <v>171</v>
      </c>
      <c r="S5">
        <v>174.9</v>
      </c>
      <c r="T5">
        <v>164.7</v>
      </c>
      <c r="U5">
        <v>119.7</v>
      </c>
      <c r="V5">
        <v>184.9</v>
      </c>
      <c r="W5">
        <v>167.1</v>
      </c>
      <c r="X5">
        <v>182.5</v>
      </c>
      <c r="Y5">
        <v>173.3</v>
      </c>
    </row>
    <row r="6" spans="1:25" x14ac:dyDescent="0.3">
      <c r="A6" t="s">
        <v>29</v>
      </c>
      <c r="B6">
        <v>2022</v>
      </c>
      <c r="C6" t="s">
        <v>34</v>
      </c>
      <c r="D6">
        <v>5</v>
      </c>
      <c r="E6">
        <v>2262.2000000000003</v>
      </c>
      <c r="I6" t="s">
        <v>29</v>
      </c>
      <c r="J6">
        <v>2022</v>
      </c>
      <c r="K6" t="s">
        <v>34</v>
      </c>
      <c r="L6">
        <f t="shared" si="0"/>
        <v>5</v>
      </c>
      <c r="M6">
        <v>156.69999999999999</v>
      </c>
      <c r="N6">
        <v>221.2</v>
      </c>
      <c r="O6">
        <v>164.1</v>
      </c>
      <c r="P6">
        <v>165.4</v>
      </c>
      <c r="Q6">
        <v>189.5</v>
      </c>
      <c r="R6">
        <v>174.5</v>
      </c>
      <c r="S6">
        <v>203.2</v>
      </c>
      <c r="T6">
        <v>164.1</v>
      </c>
      <c r="U6">
        <v>121.2</v>
      </c>
      <c r="V6">
        <v>181.4</v>
      </c>
      <c r="W6">
        <v>158.5</v>
      </c>
      <c r="X6">
        <v>184.9</v>
      </c>
      <c r="Y6">
        <v>177.5</v>
      </c>
    </row>
    <row r="7" spans="1:25" x14ac:dyDescent="0.3">
      <c r="A7" t="s">
        <v>27</v>
      </c>
      <c r="B7">
        <v>2022</v>
      </c>
      <c r="C7" t="s">
        <v>35</v>
      </c>
      <c r="D7">
        <v>6</v>
      </c>
      <c r="E7">
        <v>2248.3000000000002</v>
      </c>
      <c r="I7" t="s">
        <v>27</v>
      </c>
      <c r="J7">
        <v>2022</v>
      </c>
      <c r="K7" t="s">
        <v>35</v>
      </c>
      <c r="L7">
        <v>6</v>
      </c>
      <c r="M7">
        <v>153.80000000000001</v>
      </c>
      <c r="N7">
        <v>217.2</v>
      </c>
      <c r="O7">
        <v>169.6</v>
      </c>
      <c r="P7">
        <v>165.4</v>
      </c>
      <c r="Q7">
        <v>208.1</v>
      </c>
      <c r="R7">
        <v>165.8</v>
      </c>
      <c r="S7">
        <v>167.3</v>
      </c>
      <c r="T7">
        <v>164.6</v>
      </c>
      <c r="U7">
        <v>119.1</v>
      </c>
      <c r="V7">
        <v>188.9</v>
      </c>
      <c r="W7">
        <v>174.2</v>
      </c>
      <c r="X7">
        <v>181.9</v>
      </c>
      <c r="Y7">
        <v>172.4</v>
      </c>
    </row>
    <row r="8" spans="1:25" x14ac:dyDescent="0.3">
      <c r="A8" t="s">
        <v>30</v>
      </c>
      <c r="B8">
        <v>2022</v>
      </c>
      <c r="C8" t="s">
        <v>35</v>
      </c>
      <c r="D8">
        <v>6</v>
      </c>
      <c r="E8">
        <v>2261.9</v>
      </c>
      <c r="I8" t="s">
        <v>30</v>
      </c>
      <c r="J8">
        <v>2022</v>
      </c>
      <c r="K8" t="s">
        <v>35</v>
      </c>
      <c r="L8">
        <v>6</v>
      </c>
      <c r="M8">
        <v>155</v>
      </c>
      <c r="N8">
        <v>219.4</v>
      </c>
      <c r="O8">
        <v>170.8</v>
      </c>
      <c r="P8">
        <v>165.8</v>
      </c>
      <c r="Q8">
        <v>200.9</v>
      </c>
      <c r="R8">
        <v>169.7</v>
      </c>
      <c r="S8">
        <v>182.3</v>
      </c>
      <c r="T8">
        <v>164.3</v>
      </c>
      <c r="U8">
        <v>119.9</v>
      </c>
      <c r="V8">
        <v>187.1</v>
      </c>
      <c r="W8">
        <v>167.9</v>
      </c>
      <c r="X8">
        <v>183.9</v>
      </c>
      <c r="Y8">
        <v>174.9</v>
      </c>
    </row>
    <row r="9" spans="1:25" x14ac:dyDescent="0.3">
      <c r="A9" t="s">
        <v>29</v>
      </c>
      <c r="B9">
        <v>2022</v>
      </c>
      <c r="C9" t="s">
        <v>35</v>
      </c>
      <c r="D9">
        <v>6</v>
      </c>
      <c r="E9">
        <v>2287.5</v>
      </c>
      <c r="I9" t="s">
        <v>29</v>
      </c>
      <c r="J9">
        <v>2022</v>
      </c>
      <c r="K9" t="s">
        <v>35</v>
      </c>
      <c r="L9">
        <v>6</v>
      </c>
      <c r="M9">
        <v>157.5</v>
      </c>
      <c r="N9">
        <v>223.4</v>
      </c>
      <c r="O9">
        <v>172.8</v>
      </c>
      <c r="P9">
        <v>166.4</v>
      </c>
      <c r="Q9">
        <v>188.6</v>
      </c>
      <c r="R9">
        <v>174.1</v>
      </c>
      <c r="S9">
        <v>211.5</v>
      </c>
      <c r="T9">
        <v>163.6</v>
      </c>
      <c r="U9">
        <v>121.4</v>
      </c>
      <c r="V9">
        <v>183.5</v>
      </c>
      <c r="W9">
        <v>159.1</v>
      </c>
      <c r="X9">
        <v>186.3</v>
      </c>
      <c r="Y9">
        <v>179.3</v>
      </c>
    </row>
    <row r="10" spans="1:25" x14ac:dyDescent="0.3">
      <c r="A10" t="s">
        <v>27</v>
      </c>
      <c r="B10">
        <v>2022</v>
      </c>
      <c r="C10" t="s">
        <v>36</v>
      </c>
      <c r="D10">
        <v>7</v>
      </c>
      <c r="E10">
        <v>2252.5</v>
      </c>
      <c r="I10" t="s">
        <v>27</v>
      </c>
      <c r="J10">
        <v>2022</v>
      </c>
      <c r="K10" t="s">
        <v>36</v>
      </c>
      <c r="L10">
        <v>7</v>
      </c>
      <c r="M10">
        <v>155.19999999999999</v>
      </c>
      <c r="N10">
        <v>210.8</v>
      </c>
      <c r="O10">
        <v>174.3</v>
      </c>
      <c r="P10">
        <v>166.3</v>
      </c>
      <c r="Q10">
        <v>202.2</v>
      </c>
      <c r="R10">
        <v>169.6</v>
      </c>
      <c r="S10">
        <v>168.6</v>
      </c>
      <c r="T10">
        <v>164.4</v>
      </c>
      <c r="U10">
        <v>119.2</v>
      </c>
      <c r="V10">
        <v>191.8</v>
      </c>
      <c r="W10">
        <v>174.5</v>
      </c>
      <c r="X10">
        <v>183.1</v>
      </c>
      <c r="Y10">
        <v>172.5</v>
      </c>
    </row>
    <row r="11" spans="1:25" x14ac:dyDescent="0.3">
      <c r="A11" t="s">
        <v>30</v>
      </c>
      <c r="B11">
        <v>2022</v>
      </c>
      <c r="C11" t="s">
        <v>36</v>
      </c>
      <c r="D11">
        <v>7</v>
      </c>
      <c r="E11">
        <v>2266.3000000000002</v>
      </c>
      <c r="I11" t="s">
        <v>30</v>
      </c>
      <c r="J11">
        <v>2022</v>
      </c>
      <c r="K11" t="s">
        <v>36</v>
      </c>
      <c r="L11">
        <v>7</v>
      </c>
      <c r="M11">
        <v>156.5</v>
      </c>
      <c r="N11">
        <v>213</v>
      </c>
      <c r="O11">
        <v>175.2</v>
      </c>
      <c r="P11">
        <v>166.6</v>
      </c>
      <c r="Q11">
        <v>195.8</v>
      </c>
      <c r="R11">
        <v>174.2</v>
      </c>
      <c r="S11">
        <v>182.1</v>
      </c>
      <c r="T11">
        <v>164.3</v>
      </c>
      <c r="U11">
        <v>120</v>
      </c>
      <c r="V11">
        <v>190</v>
      </c>
      <c r="W11">
        <v>168.4</v>
      </c>
      <c r="X11">
        <v>185.2</v>
      </c>
      <c r="Y11">
        <v>175</v>
      </c>
    </row>
    <row r="12" spans="1:25" x14ac:dyDescent="0.3">
      <c r="A12" t="s">
        <v>29</v>
      </c>
      <c r="B12">
        <v>2022</v>
      </c>
      <c r="C12" t="s">
        <v>36</v>
      </c>
      <c r="D12">
        <v>7</v>
      </c>
      <c r="E12">
        <v>2291.6</v>
      </c>
      <c r="I12" t="s">
        <v>29</v>
      </c>
      <c r="J12">
        <v>2022</v>
      </c>
      <c r="K12" t="s">
        <v>36</v>
      </c>
      <c r="L12">
        <v>7</v>
      </c>
      <c r="M12">
        <v>159.30000000000001</v>
      </c>
      <c r="N12">
        <v>217.1</v>
      </c>
      <c r="O12">
        <v>176.6</v>
      </c>
      <c r="P12">
        <v>167.1</v>
      </c>
      <c r="Q12">
        <v>184.8</v>
      </c>
      <c r="R12">
        <v>179.5</v>
      </c>
      <c r="S12">
        <v>208.5</v>
      </c>
      <c r="T12">
        <v>164</v>
      </c>
      <c r="U12">
        <v>121.5</v>
      </c>
      <c r="V12">
        <v>186.3</v>
      </c>
      <c r="W12">
        <v>159.80000000000001</v>
      </c>
      <c r="X12">
        <v>187.7</v>
      </c>
      <c r="Y12">
        <v>179.4</v>
      </c>
    </row>
    <row r="13" spans="1:25" x14ac:dyDescent="0.3">
      <c r="A13" t="s">
        <v>27</v>
      </c>
      <c r="B13">
        <v>2022</v>
      </c>
      <c r="C13" t="s">
        <v>37</v>
      </c>
      <c r="D13">
        <v>8</v>
      </c>
      <c r="E13">
        <v>2255.7999999999997</v>
      </c>
      <c r="I13" t="s">
        <v>27</v>
      </c>
      <c r="J13">
        <v>2022</v>
      </c>
      <c r="K13" t="s">
        <v>37</v>
      </c>
      <c r="L13">
        <v>8</v>
      </c>
      <c r="M13">
        <v>159.5</v>
      </c>
      <c r="N13">
        <v>204.1</v>
      </c>
      <c r="O13">
        <v>168.3</v>
      </c>
      <c r="P13">
        <v>167.9</v>
      </c>
      <c r="Q13">
        <v>198.1</v>
      </c>
      <c r="R13">
        <v>169.2</v>
      </c>
      <c r="S13">
        <v>173.1</v>
      </c>
      <c r="T13">
        <v>167.1</v>
      </c>
      <c r="U13">
        <v>120.2</v>
      </c>
      <c r="V13">
        <v>195.6</v>
      </c>
      <c r="W13">
        <v>174.8</v>
      </c>
      <c r="X13">
        <v>184</v>
      </c>
      <c r="Y13">
        <v>173.9</v>
      </c>
    </row>
    <row r="14" spans="1:25" x14ac:dyDescent="0.3">
      <c r="A14" t="s">
        <v>30</v>
      </c>
      <c r="B14">
        <v>2022</v>
      </c>
      <c r="C14" t="s">
        <v>37</v>
      </c>
      <c r="D14">
        <v>8</v>
      </c>
      <c r="E14">
        <v>2269.2000000000003</v>
      </c>
      <c r="I14" t="s">
        <v>30</v>
      </c>
      <c r="J14">
        <v>2022</v>
      </c>
      <c r="K14" t="s">
        <v>37</v>
      </c>
      <c r="L14">
        <v>8</v>
      </c>
      <c r="M14">
        <v>160.30000000000001</v>
      </c>
      <c r="N14">
        <v>206.5</v>
      </c>
      <c r="O14">
        <v>169.2</v>
      </c>
      <c r="P14">
        <v>168.1</v>
      </c>
      <c r="Q14">
        <v>192.4</v>
      </c>
      <c r="R14">
        <v>172.9</v>
      </c>
      <c r="S14">
        <v>186.7</v>
      </c>
      <c r="T14">
        <v>167.2</v>
      </c>
      <c r="U14">
        <v>120.9</v>
      </c>
      <c r="V14">
        <v>193.6</v>
      </c>
      <c r="W14">
        <v>168.8</v>
      </c>
      <c r="X14">
        <v>186.3</v>
      </c>
      <c r="Y14">
        <v>176.3</v>
      </c>
    </row>
    <row r="15" spans="1:25" x14ac:dyDescent="0.3">
      <c r="A15" t="s">
        <v>29</v>
      </c>
      <c r="B15">
        <v>2022</v>
      </c>
      <c r="C15" t="s">
        <v>37</v>
      </c>
      <c r="D15">
        <v>8</v>
      </c>
      <c r="E15">
        <v>2293.6999999999998</v>
      </c>
      <c r="I15" t="s">
        <v>29</v>
      </c>
      <c r="J15">
        <v>2022</v>
      </c>
      <c r="K15" t="s">
        <v>37</v>
      </c>
      <c r="L15">
        <v>8</v>
      </c>
      <c r="M15">
        <v>162.1</v>
      </c>
      <c r="N15">
        <v>210.9</v>
      </c>
      <c r="O15">
        <v>170.6</v>
      </c>
      <c r="P15">
        <v>168.4</v>
      </c>
      <c r="Q15">
        <v>182.5</v>
      </c>
      <c r="R15">
        <v>177.1</v>
      </c>
      <c r="S15">
        <v>213.1</v>
      </c>
      <c r="T15">
        <v>167.3</v>
      </c>
      <c r="U15">
        <v>122.2</v>
      </c>
      <c r="V15">
        <v>189.7</v>
      </c>
      <c r="W15">
        <v>160.5</v>
      </c>
      <c r="X15">
        <v>188.9</v>
      </c>
      <c r="Y15">
        <v>180.4</v>
      </c>
    </row>
    <row r="16" spans="1:25" x14ac:dyDescent="0.3">
      <c r="A16" t="s">
        <v>27</v>
      </c>
      <c r="B16">
        <v>2022</v>
      </c>
      <c r="C16" t="s">
        <v>38</v>
      </c>
      <c r="D16">
        <v>9</v>
      </c>
      <c r="E16">
        <v>2267.8000000000002</v>
      </c>
      <c r="I16" t="s">
        <v>27</v>
      </c>
      <c r="J16">
        <v>2022</v>
      </c>
      <c r="K16" t="s">
        <v>38</v>
      </c>
      <c r="L16">
        <v>9</v>
      </c>
      <c r="M16">
        <v>162.9</v>
      </c>
      <c r="N16">
        <v>206.7</v>
      </c>
      <c r="O16">
        <v>169</v>
      </c>
      <c r="P16">
        <v>169.5</v>
      </c>
      <c r="Q16">
        <v>194.1</v>
      </c>
      <c r="R16">
        <v>164.1</v>
      </c>
      <c r="S16">
        <v>176.9</v>
      </c>
      <c r="T16">
        <v>169</v>
      </c>
      <c r="U16">
        <v>120.8</v>
      </c>
      <c r="V16">
        <v>199.1</v>
      </c>
      <c r="W16">
        <v>175.4</v>
      </c>
      <c r="X16">
        <v>184.8</v>
      </c>
      <c r="Y16">
        <v>175.5</v>
      </c>
    </row>
    <row r="17" spans="1:25" x14ac:dyDescent="0.3">
      <c r="A17" t="s">
        <v>30</v>
      </c>
      <c r="B17">
        <v>2022</v>
      </c>
      <c r="C17" t="s">
        <v>38</v>
      </c>
      <c r="D17">
        <v>9</v>
      </c>
      <c r="E17">
        <v>2280.9</v>
      </c>
      <c r="I17" t="s">
        <v>30</v>
      </c>
      <c r="J17">
        <v>2022</v>
      </c>
      <c r="K17" t="s">
        <v>38</v>
      </c>
      <c r="L17">
        <v>9</v>
      </c>
      <c r="M17">
        <v>163.5</v>
      </c>
      <c r="N17">
        <v>209.2</v>
      </c>
      <c r="O17">
        <v>169.7</v>
      </c>
      <c r="P17">
        <v>169.7</v>
      </c>
      <c r="Q17">
        <v>188.7</v>
      </c>
      <c r="R17">
        <v>165.7</v>
      </c>
      <c r="S17">
        <v>191.8</v>
      </c>
      <c r="T17">
        <v>169.1</v>
      </c>
      <c r="U17">
        <v>121.6</v>
      </c>
      <c r="V17">
        <v>197.3</v>
      </c>
      <c r="W17">
        <v>169.4</v>
      </c>
      <c r="X17">
        <v>187.4</v>
      </c>
      <c r="Y17">
        <v>177.8</v>
      </c>
    </row>
    <row r="18" spans="1:25" x14ac:dyDescent="0.3">
      <c r="A18" t="s">
        <v>29</v>
      </c>
      <c r="B18">
        <v>2022</v>
      </c>
      <c r="C18" t="s">
        <v>38</v>
      </c>
      <c r="D18">
        <v>9</v>
      </c>
      <c r="E18">
        <v>2306.4</v>
      </c>
      <c r="I18" t="s">
        <v>29</v>
      </c>
      <c r="J18">
        <v>2022</v>
      </c>
      <c r="K18" t="s">
        <v>38</v>
      </c>
      <c r="L18">
        <v>9</v>
      </c>
      <c r="M18">
        <v>164.9</v>
      </c>
      <c r="N18">
        <v>213.7</v>
      </c>
      <c r="O18">
        <v>170.9</v>
      </c>
      <c r="P18">
        <v>170.1</v>
      </c>
      <c r="Q18">
        <v>179.3</v>
      </c>
      <c r="R18">
        <v>167.5</v>
      </c>
      <c r="S18">
        <v>220.8</v>
      </c>
      <c r="T18">
        <v>169.2</v>
      </c>
      <c r="U18">
        <v>123.1</v>
      </c>
      <c r="V18">
        <v>193.6</v>
      </c>
      <c r="W18">
        <v>161.1</v>
      </c>
      <c r="X18">
        <v>190.4</v>
      </c>
      <c r="Y18">
        <v>181.8</v>
      </c>
    </row>
    <row r="19" spans="1:25" x14ac:dyDescent="0.3">
      <c r="A19" t="s">
        <v>27</v>
      </c>
      <c r="B19">
        <v>2022</v>
      </c>
      <c r="C19" t="s">
        <v>39</v>
      </c>
      <c r="D19">
        <v>10</v>
      </c>
      <c r="E19">
        <v>2284.5</v>
      </c>
      <c r="I19" t="s">
        <v>27</v>
      </c>
      <c r="J19">
        <v>2022</v>
      </c>
      <c r="K19" t="s">
        <v>39</v>
      </c>
      <c r="L19">
        <v>10</v>
      </c>
      <c r="M19">
        <v>164.7</v>
      </c>
      <c r="N19">
        <v>208.8</v>
      </c>
      <c r="O19">
        <v>170.3</v>
      </c>
      <c r="P19">
        <v>170.9</v>
      </c>
      <c r="Q19">
        <v>191.6</v>
      </c>
      <c r="R19">
        <v>162.19999999999999</v>
      </c>
      <c r="S19">
        <v>184.8</v>
      </c>
      <c r="T19">
        <v>169.7</v>
      </c>
      <c r="U19">
        <v>121.1</v>
      </c>
      <c r="V19">
        <v>201.6</v>
      </c>
      <c r="W19">
        <v>175.8</v>
      </c>
      <c r="X19">
        <v>185.6</v>
      </c>
      <c r="Y19">
        <v>177.4</v>
      </c>
    </row>
    <row r="20" spans="1:25" x14ac:dyDescent="0.3">
      <c r="A20" t="s">
        <v>30</v>
      </c>
      <c r="B20">
        <v>2022</v>
      </c>
      <c r="C20" t="s">
        <v>39</v>
      </c>
      <c r="D20">
        <v>10</v>
      </c>
      <c r="E20">
        <v>2297.3000000000002</v>
      </c>
      <c r="I20" t="s">
        <v>30</v>
      </c>
      <c r="J20">
        <v>2022</v>
      </c>
      <c r="K20" t="s">
        <v>39</v>
      </c>
      <c r="L20">
        <v>10</v>
      </c>
      <c r="M20">
        <v>165.2</v>
      </c>
      <c r="N20">
        <v>210.9</v>
      </c>
      <c r="O20">
        <v>170.9</v>
      </c>
      <c r="P20">
        <v>170.9</v>
      </c>
      <c r="Q20">
        <v>186.5</v>
      </c>
      <c r="R20">
        <v>163.80000000000001</v>
      </c>
      <c r="S20">
        <v>199.7</v>
      </c>
      <c r="T20">
        <v>169.8</v>
      </c>
      <c r="U20">
        <v>121.9</v>
      </c>
      <c r="V20">
        <v>199.9</v>
      </c>
      <c r="W20">
        <v>169.9</v>
      </c>
      <c r="X20">
        <v>188.3</v>
      </c>
      <c r="Y20">
        <v>179.6</v>
      </c>
    </row>
    <row r="21" spans="1:25" x14ac:dyDescent="0.3">
      <c r="A21" t="s">
        <v>29</v>
      </c>
      <c r="B21">
        <v>2022</v>
      </c>
      <c r="C21" t="s">
        <v>39</v>
      </c>
      <c r="D21">
        <v>10</v>
      </c>
      <c r="E21">
        <v>2322.3000000000002</v>
      </c>
      <c r="I21" t="s">
        <v>29</v>
      </c>
      <c r="J21">
        <v>2022</v>
      </c>
      <c r="K21" t="s">
        <v>39</v>
      </c>
      <c r="L21">
        <v>10</v>
      </c>
      <c r="M21">
        <v>166.4</v>
      </c>
      <c r="N21">
        <v>214.9</v>
      </c>
      <c r="O21">
        <v>171.9</v>
      </c>
      <c r="P21">
        <v>171</v>
      </c>
      <c r="Q21">
        <v>177.7</v>
      </c>
      <c r="R21">
        <v>165.7</v>
      </c>
      <c r="S21">
        <v>228.6</v>
      </c>
      <c r="T21">
        <v>169.9</v>
      </c>
      <c r="U21">
        <v>123.4</v>
      </c>
      <c r="V21">
        <v>196.4</v>
      </c>
      <c r="W21">
        <v>161.6</v>
      </c>
      <c r="X21">
        <v>191.5</v>
      </c>
      <c r="Y21">
        <v>183.3</v>
      </c>
    </row>
    <row r="22" spans="1:25" x14ac:dyDescent="0.3">
      <c r="A22" t="s">
        <v>27</v>
      </c>
      <c r="B22">
        <v>2022</v>
      </c>
      <c r="C22" t="s">
        <v>41</v>
      </c>
      <c r="D22">
        <v>11</v>
      </c>
      <c r="E22">
        <v>2287.6999999999998</v>
      </c>
      <c r="I22" t="s">
        <v>27</v>
      </c>
      <c r="J22">
        <v>2022</v>
      </c>
      <c r="K22" t="s">
        <v>41</v>
      </c>
      <c r="L22">
        <v>11</v>
      </c>
      <c r="M22">
        <v>166.9</v>
      </c>
      <c r="N22">
        <v>207.2</v>
      </c>
      <c r="O22">
        <v>180.2</v>
      </c>
      <c r="P22">
        <v>172.3</v>
      </c>
      <c r="Q22">
        <v>194</v>
      </c>
      <c r="R22">
        <v>159.1</v>
      </c>
      <c r="S22">
        <v>171.6</v>
      </c>
      <c r="T22">
        <v>170.2</v>
      </c>
      <c r="U22">
        <v>121.5</v>
      </c>
      <c r="V22">
        <v>204.8</v>
      </c>
      <c r="W22">
        <v>176.4</v>
      </c>
      <c r="X22">
        <v>186.9</v>
      </c>
      <c r="Y22">
        <v>176.6</v>
      </c>
    </row>
    <row r="23" spans="1:25" x14ac:dyDescent="0.3">
      <c r="A23" t="s">
        <v>30</v>
      </c>
      <c r="B23">
        <v>2022</v>
      </c>
      <c r="C23" t="s">
        <v>41</v>
      </c>
      <c r="D23">
        <v>11</v>
      </c>
      <c r="E23">
        <v>2296.8000000000002</v>
      </c>
      <c r="I23" t="s">
        <v>30</v>
      </c>
      <c r="J23">
        <v>2022</v>
      </c>
      <c r="K23" t="s">
        <v>41</v>
      </c>
      <c r="L23">
        <v>11</v>
      </c>
      <c r="M23">
        <v>167.4</v>
      </c>
      <c r="N23">
        <v>209.4</v>
      </c>
      <c r="O23">
        <v>181.4</v>
      </c>
      <c r="P23">
        <v>172.3</v>
      </c>
      <c r="Q23">
        <v>188.9</v>
      </c>
      <c r="R23">
        <v>160.69999999999999</v>
      </c>
      <c r="S23">
        <v>183.1</v>
      </c>
      <c r="T23">
        <v>170.5</v>
      </c>
      <c r="U23">
        <v>122.1</v>
      </c>
      <c r="V23">
        <v>202.8</v>
      </c>
      <c r="W23">
        <v>170.4</v>
      </c>
      <c r="X23">
        <v>189.5</v>
      </c>
      <c r="Y23">
        <v>178.3</v>
      </c>
    </row>
    <row r="24" spans="1:25" x14ac:dyDescent="0.3">
      <c r="A24" t="s">
        <v>29</v>
      </c>
      <c r="B24">
        <v>2022</v>
      </c>
      <c r="C24" t="s">
        <v>41</v>
      </c>
      <c r="D24">
        <v>11</v>
      </c>
      <c r="E24">
        <v>2314.4</v>
      </c>
      <c r="I24" t="s">
        <v>29</v>
      </c>
      <c r="J24">
        <v>2022</v>
      </c>
      <c r="K24" t="s">
        <v>41</v>
      </c>
      <c r="L24">
        <v>11</v>
      </c>
      <c r="M24">
        <v>168.4</v>
      </c>
      <c r="N24">
        <v>213.4</v>
      </c>
      <c r="O24">
        <v>183.2</v>
      </c>
      <c r="P24">
        <v>172.3</v>
      </c>
      <c r="Q24">
        <v>180</v>
      </c>
      <c r="R24">
        <v>162.6</v>
      </c>
      <c r="S24">
        <v>205.5</v>
      </c>
      <c r="T24">
        <v>171</v>
      </c>
      <c r="U24">
        <v>123.4</v>
      </c>
      <c r="V24">
        <v>198.8</v>
      </c>
      <c r="W24">
        <v>162.1</v>
      </c>
      <c r="X24">
        <v>192.4</v>
      </c>
      <c r="Y24">
        <v>181.3</v>
      </c>
    </row>
    <row r="25" spans="1:25" x14ac:dyDescent="0.3">
      <c r="A25" t="s">
        <v>27</v>
      </c>
      <c r="B25">
        <v>2022</v>
      </c>
      <c r="C25" t="s">
        <v>42</v>
      </c>
      <c r="D25">
        <v>12</v>
      </c>
      <c r="E25">
        <v>2277.1</v>
      </c>
      <c r="I25" t="s">
        <v>27</v>
      </c>
      <c r="J25">
        <v>2022</v>
      </c>
      <c r="K25" t="s">
        <v>42</v>
      </c>
      <c r="L25">
        <v>12</v>
      </c>
      <c r="M25">
        <v>168.8</v>
      </c>
      <c r="N25">
        <v>206.9</v>
      </c>
      <c r="O25">
        <v>189.1</v>
      </c>
      <c r="P25">
        <v>173.4</v>
      </c>
      <c r="Q25">
        <v>193.9</v>
      </c>
      <c r="R25">
        <v>156.69999999999999</v>
      </c>
      <c r="S25">
        <v>150.19999999999999</v>
      </c>
      <c r="T25">
        <v>170.5</v>
      </c>
      <c r="U25">
        <v>121.2</v>
      </c>
      <c r="V25">
        <v>207.5</v>
      </c>
      <c r="W25">
        <v>176.8</v>
      </c>
      <c r="X25">
        <v>187.7</v>
      </c>
      <c r="Y25">
        <v>174.4</v>
      </c>
    </row>
    <row r="26" spans="1:25" x14ac:dyDescent="0.3">
      <c r="A26" t="s">
        <v>30</v>
      </c>
      <c r="B26">
        <v>2022</v>
      </c>
      <c r="C26" t="s">
        <v>42</v>
      </c>
      <c r="D26">
        <v>12</v>
      </c>
      <c r="E26">
        <v>2283.4</v>
      </c>
      <c r="I26" t="s">
        <v>30</v>
      </c>
      <c r="J26">
        <v>2022</v>
      </c>
      <c r="K26" t="s">
        <v>42</v>
      </c>
      <c r="L26">
        <v>12</v>
      </c>
      <c r="M26">
        <v>169.2</v>
      </c>
      <c r="N26">
        <v>209</v>
      </c>
      <c r="O26">
        <v>190.2</v>
      </c>
      <c r="P26">
        <v>173.6</v>
      </c>
      <c r="Q26">
        <v>188.5</v>
      </c>
      <c r="R26">
        <v>158</v>
      </c>
      <c r="S26">
        <v>159.9</v>
      </c>
      <c r="T26">
        <v>170.8</v>
      </c>
      <c r="U26">
        <v>121.8</v>
      </c>
      <c r="V26">
        <v>205.2</v>
      </c>
      <c r="W26">
        <v>171</v>
      </c>
      <c r="X26">
        <v>190.3</v>
      </c>
      <c r="Y26">
        <v>175.9</v>
      </c>
    </row>
    <row r="27" spans="1:25" x14ac:dyDescent="0.3">
      <c r="A27" t="s">
        <v>29</v>
      </c>
      <c r="B27">
        <v>2022</v>
      </c>
      <c r="C27" t="s">
        <v>42</v>
      </c>
      <c r="D27">
        <v>12</v>
      </c>
      <c r="E27">
        <v>2295.7999999999997</v>
      </c>
      <c r="I27" t="s">
        <v>29</v>
      </c>
      <c r="J27">
        <v>2022</v>
      </c>
      <c r="K27" t="s">
        <v>42</v>
      </c>
      <c r="L27">
        <v>12</v>
      </c>
      <c r="M27">
        <v>170.2</v>
      </c>
      <c r="N27">
        <v>212.9</v>
      </c>
      <c r="O27">
        <v>191.9</v>
      </c>
      <c r="P27">
        <v>173.9</v>
      </c>
      <c r="Q27">
        <v>179.1</v>
      </c>
      <c r="R27">
        <v>159.5</v>
      </c>
      <c r="S27">
        <v>178.7</v>
      </c>
      <c r="T27">
        <v>171.3</v>
      </c>
      <c r="U27">
        <v>123.1</v>
      </c>
      <c r="V27">
        <v>200.5</v>
      </c>
      <c r="W27">
        <v>162.80000000000001</v>
      </c>
      <c r="X27">
        <v>193.3</v>
      </c>
      <c r="Y27">
        <v>178.6</v>
      </c>
    </row>
    <row r="28" spans="1:25" x14ac:dyDescent="0.3">
      <c r="A28" t="s">
        <v>27</v>
      </c>
      <c r="B28">
        <v>2023</v>
      </c>
      <c r="C28" t="s">
        <v>28</v>
      </c>
      <c r="D28">
        <v>1</v>
      </c>
      <c r="E28">
        <v>2283.2000000000003</v>
      </c>
      <c r="I28" t="s">
        <v>27</v>
      </c>
      <c r="J28">
        <v>2023</v>
      </c>
      <c r="K28" t="s">
        <v>28</v>
      </c>
      <c r="L28">
        <v>1</v>
      </c>
      <c r="M28">
        <v>174</v>
      </c>
      <c r="N28">
        <v>208.3</v>
      </c>
      <c r="O28">
        <v>192.9</v>
      </c>
      <c r="P28">
        <v>174.3</v>
      </c>
      <c r="Q28">
        <v>192.6</v>
      </c>
      <c r="R28">
        <v>156.30000000000001</v>
      </c>
      <c r="S28">
        <v>142.9</v>
      </c>
      <c r="T28">
        <v>170.7</v>
      </c>
      <c r="U28">
        <v>120.3</v>
      </c>
      <c r="V28">
        <v>210.5</v>
      </c>
      <c r="W28">
        <v>176.9</v>
      </c>
      <c r="X28">
        <v>188.5</v>
      </c>
      <c r="Y28">
        <v>175</v>
      </c>
    </row>
    <row r="29" spans="1:25" x14ac:dyDescent="0.3">
      <c r="A29" t="s">
        <v>30</v>
      </c>
      <c r="B29">
        <v>2023</v>
      </c>
      <c r="C29" t="s">
        <v>28</v>
      </c>
      <c r="D29">
        <v>1</v>
      </c>
      <c r="E29">
        <v>2292.6999999999998</v>
      </c>
      <c r="I29" t="s">
        <v>30</v>
      </c>
      <c r="J29">
        <v>2023</v>
      </c>
      <c r="K29" t="s">
        <v>28</v>
      </c>
      <c r="L29">
        <v>1</v>
      </c>
      <c r="M29">
        <v>173.8</v>
      </c>
      <c r="N29">
        <v>210.7</v>
      </c>
      <c r="O29">
        <v>194.5</v>
      </c>
      <c r="P29">
        <v>174.6</v>
      </c>
      <c r="Q29">
        <v>187.2</v>
      </c>
      <c r="R29">
        <v>158.30000000000001</v>
      </c>
      <c r="S29">
        <v>153.9</v>
      </c>
      <c r="T29">
        <v>170.9</v>
      </c>
      <c r="U29">
        <v>121.1</v>
      </c>
      <c r="V29">
        <v>208.4</v>
      </c>
      <c r="W29">
        <v>171.4</v>
      </c>
      <c r="X29">
        <v>191.2</v>
      </c>
      <c r="Y29">
        <v>176.7</v>
      </c>
    </row>
    <row r="30" spans="1:25" x14ac:dyDescent="0.3">
      <c r="A30" t="s">
        <v>29</v>
      </c>
      <c r="B30">
        <v>2023</v>
      </c>
      <c r="C30" t="s">
        <v>28</v>
      </c>
      <c r="D30">
        <v>1</v>
      </c>
      <c r="E30">
        <v>2310.2000000000003</v>
      </c>
      <c r="I30" t="s">
        <v>29</v>
      </c>
      <c r="J30">
        <v>2023</v>
      </c>
      <c r="K30" t="s">
        <v>28</v>
      </c>
      <c r="L30">
        <v>1</v>
      </c>
      <c r="M30">
        <v>173.3</v>
      </c>
      <c r="N30">
        <v>215.2</v>
      </c>
      <c r="O30">
        <v>197</v>
      </c>
      <c r="P30">
        <v>175.2</v>
      </c>
      <c r="Q30">
        <v>178</v>
      </c>
      <c r="R30">
        <v>160.5</v>
      </c>
      <c r="S30">
        <v>175.3</v>
      </c>
      <c r="T30">
        <v>171.2</v>
      </c>
      <c r="U30">
        <v>122.7</v>
      </c>
      <c r="V30">
        <v>204.3</v>
      </c>
      <c r="W30">
        <v>163.69999999999999</v>
      </c>
      <c r="X30">
        <v>194.3</v>
      </c>
      <c r="Y30">
        <v>179.5</v>
      </c>
    </row>
    <row r="31" spans="1:25" x14ac:dyDescent="0.3">
      <c r="A31" t="s">
        <v>27</v>
      </c>
      <c r="B31">
        <v>2023</v>
      </c>
      <c r="C31" t="s">
        <v>31</v>
      </c>
      <c r="D31">
        <v>2</v>
      </c>
      <c r="E31">
        <v>2265.6999999999998</v>
      </c>
      <c r="I31" t="s">
        <v>27</v>
      </c>
      <c r="J31">
        <v>2023</v>
      </c>
      <c r="K31" t="s">
        <v>31</v>
      </c>
      <c r="L31">
        <v>2</v>
      </c>
      <c r="M31">
        <v>174.2</v>
      </c>
      <c r="N31">
        <v>205.2</v>
      </c>
      <c r="O31">
        <v>173.9</v>
      </c>
      <c r="P31">
        <v>177</v>
      </c>
      <c r="Q31">
        <v>183.4</v>
      </c>
      <c r="R31">
        <v>167.2</v>
      </c>
      <c r="S31">
        <v>140.9</v>
      </c>
      <c r="T31">
        <v>170.4</v>
      </c>
      <c r="U31">
        <v>119.1</v>
      </c>
      <c r="V31">
        <v>212.1</v>
      </c>
      <c r="W31">
        <v>177.6</v>
      </c>
      <c r="X31">
        <v>189.9</v>
      </c>
      <c r="Y31">
        <v>174.8</v>
      </c>
    </row>
    <row r="32" spans="1:25" x14ac:dyDescent="0.3">
      <c r="A32" t="s">
        <v>30</v>
      </c>
      <c r="B32">
        <v>2023</v>
      </c>
      <c r="C32" t="s">
        <v>31</v>
      </c>
      <c r="D32">
        <v>2</v>
      </c>
      <c r="E32">
        <v>2279.1</v>
      </c>
      <c r="I32" t="s">
        <v>30</v>
      </c>
      <c r="J32">
        <v>2023</v>
      </c>
      <c r="K32" t="s">
        <v>31</v>
      </c>
      <c r="L32">
        <v>2</v>
      </c>
      <c r="M32">
        <v>174.4</v>
      </c>
      <c r="N32">
        <v>207.7</v>
      </c>
      <c r="O32">
        <v>175.2</v>
      </c>
      <c r="P32">
        <v>177.3</v>
      </c>
      <c r="Q32">
        <v>179.3</v>
      </c>
      <c r="R32">
        <v>169.5</v>
      </c>
      <c r="S32">
        <v>152.69999999999999</v>
      </c>
      <c r="T32">
        <v>171</v>
      </c>
      <c r="U32">
        <v>120</v>
      </c>
      <c r="V32">
        <v>209.7</v>
      </c>
      <c r="W32">
        <v>172.3</v>
      </c>
      <c r="X32">
        <v>193</v>
      </c>
      <c r="Y32">
        <v>177</v>
      </c>
    </row>
    <row r="33" spans="1:25" x14ac:dyDescent="0.3">
      <c r="A33" t="s">
        <v>29</v>
      </c>
      <c r="B33">
        <v>2023</v>
      </c>
      <c r="C33" t="s">
        <v>31</v>
      </c>
      <c r="D33">
        <v>2</v>
      </c>
      <c r="E33">
        <v>2303.1999999999998</v>
      </c>
      <c r="I33" t="s">
        <v>29</v>
      </c>
      <c r="J33">
        <v>2023</v>
      </c>
      <c r="K33" t="s">
        <v>31</v>
      </c>
      <c r="L33">
        <v>2</v>
      </c>
      <c r="M33">
        <v>174.7</v>
      </c>
      <c r="N33">
        <v>212.2</v>
      </c>
      <c r="O33">
        <v>177.2</v>
      </c>
      <c r="P33">
        <v>177.9</v>
      </c>
      <c r="Q33">
        <v>172.2</v>
      </c>
      <c r="R33">
        <v>172.1</v>
      </c>
      <c r="S33">
        <v>175.8</v>
      </c>
      <c r="T33">
        <v>172.2</v>
      </c>
      <c r="U33">
        <v>121.9</v>
      </c>
      <c r="V33">
        <v>204.8</v>
      </c>
      <c r="W33">
        <v>164.9</v>
      </c>
      <c r="X33">
        <v>196.6</v>
      </c>
      <c r="Y33">
        <v>180.7</v>
      </c>
    </row>
    <row r="34" spans="1:25" x14ac:dyDescent="0.3">
      <c r="A34" t="s">
        <v>27</v>
      </c>
      <c r="B34">
        <v>2023</v>
      </c>
      <c r="C34" t="s">
        <v>32</v>
      </c>
      <c r="D34">
        <v>3</v>
      </c>
      <c r="E34">
        <v>2265.8000000000002</v>
      </c>
      <c r="I34" t="s">
        <v>27</v>
      </c>
      <c r="J34">
        <v>2023</v>
      </c>
      <c r="K34" t="s">
        <v>32</v>
      </c>
      <c r="L34">
        <v>3</v>
      </c>
      <c r="M34">
        <v>174.3</v>
      </c>
      <c r="N34">
        <v>205.2</v>
      </c>
      <c r="O34">
        <v>173.9</v>
      </c>
      <c r="P34">
        <v>177</v>
      </c>
      <c r="Q34">
        <v>183.3</v>
      </c>
      <c r="R34">
        <v>167.2</v>
      </c>
      <c r="S34">
        <v>140.9</v>
      </c>
      <c r="T34">
        <v>170.5</v>
      </c>
      <c r="U34">
        <v>119.1</v>
      </c>
      <c r="V34">
        <v>212.1</v>
      </c>
      <c r="W34">
        <v>177.6</v>
      </c>
      <c r="X34">
        <v>189.9</v>
      </c>
      <c r="Y34">
        <v>174.8</v>
      </c>
    </row>
    <row r="35" spans="1:25" x14ac:dyDescent="0.3">
      <c r="A35" t="s">
        <v>30</v>
      </c>
      <c r="B35">
        <v>2023</v>
      </c>
      <c r="C35" t="s">
        <v>32</v>
      </c>
      <c r="D35">
        <v>3</v>
      </c>
      <c r="E35">
        <v>2279.1999999999998</v>
      </c>
      <c r="I35" t="s">
        <v>30</v>
      </c>
      <c r="J35">
        <v>2023</v>
      </c>
      <c r="K35" t="s">
        <v>32</v>
      </c>
      <c r="L35">
        <v>3</v>
      </c>
      <c r="M35">
        <v>174.4</v>
      </c>
      <c r="N35">
        <v>207.7</v>
      </c>
      <c r="O35">
        <v>175.2</v>
      </c>
      <c r="P35">
        <v>177.3</v>
      </c>
      <c r="Q35">
        <v>179.2</v>
      </c>
      <c r="R35">
        <v>169.5</v>
      </c>
      <c r="S35">
        <v>152.80000000000001</v>
      </c>
      <c r="T35">
        <v>171.1</v>
      </c>
      <c r="U35">
        <v>120</v>
      </c>
      <c r="V35">
        <v>209.7</v>
      </c>
      <c r="W35">
        <v>172.3</v>
      </c>
      <c r="X35">
        <v>193</v>
      </c>
      <c r="Y35">
        <v>177</v>
      </c>
    </row>
    <row r="36" spans="1:25" x14ac:dyDescent="0.3">
      <c r="A36" t="s">
        <v>29</v>
      </c>
      <c r="B36">
        <v>2023</v>
      </c>
      <c r="C36" t="s">
        <v>32</v>
      </c>
      <c r="D36">
        <v>3</v>
      </c>
      <c r="E36">
        <v>2303.4</v>
      </c>
      <c r="I36" t="s">
        <v>29</v>
      </c>
      <c r="J36">
        <v>2023</v>
      </c>
      <c r="K36" t="s">
        <v>32</v>
      </c>
      <c r="L36">
        <v>3</v>
      </c>
      <c r="M36">
        <v>174.7</v>
      </c>
      <c r="N36">
        <v>212.2</v>
      </c>
      <c r="O36">
        <v>177.2</v>
      </c>
      <c r="P36">
        <v>177.9</v>
      </c>
      <c r="Q36">
        <v>172.2</v>
      </c>
      <c r="R36">
        <v>172.1</v>
      </c>
      <c r="S36">
        <v>175.9</v>
      </c>
      <c r="T36">
        <v>172.2</v>
      </c>
      <c r="U36">
        <v>121.9</v>
      </c>
      <c r="V36">
        <v>204.8</v>
      </c>
      <c r="W36">
        <v>164.9</v>
      </c>
      <c r="X36">
        <v>196.6</v>
      </c>
      <c r="Y36">
        <v>180.8</v>
      </c>
    </row>
    <row r="37" spans="1:25" x14ac:dyDescent="0.3">
      <c r="A37" t="s">
        <v>27</v>
      </c>
      <c r="B37">
        <v>2023</v>
      </c>
      <c r="C37" t="s">
        <v>33</v>
      </c>
      <c r="D37">
        <v>4</v>
      </c>
      <c r="E37">
        <v>2274.1999999999998</v>
      </c>
      <c r="I37" t="s">
        <v>27</v>
      </c>
      <c r="J37">
        <v>2023</v>
      </c>
      <c r="K37" t="s">
        <v>33</v>
      </c>
      <c r="L37">
        <v>4</v>
      </c>
      <c r="M37">
        <v>173.3</v>
      </c>
      <c r="N37">
        <v>206.9</v>
      </c>
      <c r="O37">
        <v>167.9</v>
      </c>
      <c r="P37">
        <v>178.2</v>
      </c>
      <c r="Q37">
        <v>178.5</v>
      </c>
      <c r="R37">
        <v>173.7</v>
      </c>
      <c r="S37">
        <v>142.80000000000001</v>
      </c>
      <c r="T37">
        <v>172.8</v>
      </c>
      <c r="U37">
        <v>120.4</v>
      </c>
      <c r="V37">
        <v>215.5</v>
      </c>
      <c r="W37">
        <v>178.2</v>
      </c>
      <c r="X37">
        <v>190.5</v>
      </c>
      <c r="Y37">
        <v>175.5</v>
      </c>
    </row>
    <row r="38" spans="1:25" x14ac:dyDescent="0.3">
      <c r="A38" t="s">
        <v>30</v>
      </c>
      <c r="B38">
        <v>2023</v>
      </c>
      <c r="C38" t="s">
        <v>33</v>
      </c>
      <c r="D38">
        <v>4</v>
      </c>
      <c r="E38">
        <v>2289.6000000000004</v>
      </c>
      <c r="I38" t="s">
        <v>30</v>
      </c>
      <c r="J38">
        <v>2023</v>
      </c>
      <c r="K38" t="s">
        <v>33</v>
      </c>
      <c r="L38">
        <v>4</v>
      </c>
      <c r="M38">
        <v>173.8</v>
      </c>
      <c r="N38">
        <v>209.3</v>
      </c>
      <c r="O38">
        <v>169.6</v>
      </c>
      <c r="P38">
        <v>178.4</v>
      </c>
      <c r="Q38">
        <v>174.9</v>
      </c>
      <c r="R38">
        <v>176.3</v>
      </c>
      <c r="S38">
        <v>155.4</v>
      </c>
      <c r="T38">
        <v>173.4</v>
      </c>
      <c r="U38">
        <v>121.3</v>
      </c>
      <c r="V38">
        <v>212.9</v>
      </c>
      <c r="W38">
        <v>172.9</v>
      </c>
      <c r="X38">
        <v>193.5</v>
      </c>
      <c r="Y38">
        <v>177.9</v>
      </c>
    </row>
    <row r="39" spans="1:25" x14ac:dyDescent="0.3">
      <c r="A39" t="s">
        <v>29</v>
      </c>
      <c r="B39">
        <v>2023</v>
      </c>
      <c r="C39" t="s">
        <v>33</v>
      </c>
      <c r="D39">
        <v>4</v>
      </c>
      <c r="E39">
        <v>2317.7000000000003</v>
      </c>
      <c r="I39" t="s">
        <v>29</v>
      </c>
      <c r="J39">
        <v>2023</v>
      </c>
      <c r="K39" t="s">
        <v>33</v>
      </c>
      <c r="L39">
        <v>4</v>
      </c>
      <c r="M39">
        <v>174.8</v>
      </c>
      <c r="N39">
        <v>213.7</v>
      </c>
      <c r="O39">
        <v>172.4</v>
      </c>
      <c r="P39">
        <v>178.8</v>
      </c>
      <c r="Q39">
        <v>168.7</v>
      </c>
      <c r="R39">
        <v>179.2</v>
      </c>
      <c r="S39">
        <v>179.9</v>
      </c>
      <c r="T39">
        <v>174.7</v>
      </c>
      <c r="U39">
        <v>123.1</v>
      </c>
      <c r="V39">
        <v>207.8</v>
      </c>
      <c r="W39">
        <v>165.5</v>
      </c>
      <c r="X39">
        <v>197</v>
      </c>
      <c r="Y39">
        <v>182.1</v>
      </c>
    </row>
    <row r="40" spans="1:25" x14ac:dyDescent="0.3">
      <c r="A40" t="s">
        <v>27</v>
      </c>
      <c r="B40">
        <v>2023</v>
      </c>
      <c r="C40" t="s">
        <v>34</v>
      </c>
      <c r="D40">
        <v>5</v>
      </c>
      <c r="E40">
        <v>2290.7000000000007</v>
      </c>
      <c r="I40" t="s">
        <v>27</v>
      </c>
      <c r="J40">
        <v>2023</v>
      </c>
      <c r="K40" t="s">
        <v>34</v>
      </c>
      <c r="L40">
        <v>5</v>
      </c>
      <c r="M40">
        <v>173.2</v>
      </c>
      <c r="N40">
        <v>211.5</v>
      </c>
      <c r="O40">
        <v>171</v>
      </c>
      <c r="P40">
        <v>179.6</v>
      </c>
      <c r="Q40">
        <v>173.3</v>
      </c>
      <c r="R40">
        <v>169</v>
      </c>
      <c r="S40">
        <v>148.69999999999999</v>
      </c>
      <c r="T40">
        <v>174.9</v>
      </c>
      <c r="U40">
        <v>121.9</v>
      </c>
      <c r="V40">
        <v>221</v>
      </c>
      <c r="W40">
        <v>178.7</v>
      </c>
      <c r="X40">
        <v>191.1</v>
      </c>
      <c r="Y40">
        <v>176.8</v>
      </c>
    </row>
    <row r="41" spans="1:25" x14ac:dyDescent="0.3">
      <c r="A41" t="s">
        <v>30</v>
      </c>
      <c r="B41">
        <v>2023</v>
      </c>
      <c r="C41" t="s">
        <v>34</v>
      </c>
      <c r="D41">
        <v>5</v>
      </c>
      <c r="E41">
        <v>2306.9</v>
      </c>
      <c r="I41" t="s">
        <v>30</v>
      </c>
      <c r="J41">
        <v>2023</v>
      </c>
      <c r="K41" t="s">
        <v>34</v>
      </c>
      <c r="L41">
        <v>5</v>
      </c>
      <c r="M41">
        <v>173.7</v>
      </c>
      <c r="N41">
        <v>214.3</v>
      </c>
      <c r="O41">
        <v>173.2</v>
      </c>
      <c r="P41">
        <v>179.5</v>
      </c>
      <c r="Q41">
        <v>170</v>
      </c>
      <c r="R41">
        <v>172.2</v>
      </c>
      <c r="S41">
        <v>161</v>
      </c>
      <c r="T41">
        <v>175.6</v>
      </c>
      <c r="U41">
        <v>122.7</v>
      </c>
      <c r="V41">
        <v>218</v>
      </c>
      <c r="W41">
        <v>173.4</v>
      </c>
      <c r="X41">
        <v>194.2</v>
      </c>
      <c r="Y41">
        <v>179.1</v>
      </c>
    </row>
    <row r="42" spans="1:25" x14ac:dyDescent="0.3">
      <c r="A42" t="s">
        <v>29</v>
      </c>
      <c r="B42">
        <v>2023</v>
      </c>
      <c r="C42" t="s">
        <v>34</v>
      </c>
      <c r="D42">
        <v>5</v>
      </c>
      <c r="E42">
        <v>2335.1</v>
      </c>
      <c r="I42" t="s">
        <v>29</v>
      </c>
      <c r="J42">
        <v>2023</v>
      </c>
      <c r="K42" t="s">
        <v>34</v>
      </c>
      <c r="L42">
        <v>5</v>
      </c>
      <c r="M42">
        <v>174.7</v>
      </c>
      <c r="N42">
        <v>219.4</v>
      </c>
      <c r="O42">
        <v>176.7</v>
      </c>
      <c r="P42">
        <v>179.4</v>
      </c>
      <c r="Q42">
        <v>164.4</v>
      </c>
      <c r="R42">
        <v>175.8</v>
      </c>
      <c r="S42">
        <v>185</v>
      </c>
      <c r="T42">
        <v>176.9</v>
      </c>
      <c r="U42">
        <v>124.2</v>
      </c>
      <c r="V42">
        <v>211.9</v>
      </c>
      <c r="W42">
        <v>165.9</v>
      </c>
      <c r="X42">
        <v>197.7</v>
      </c>
      <c r="Y42">
        <v>183.1</v>
      </c>
    </row>
  </sheetData>
  <conditionalFormatting sqref="A3:D27">
    <cfRule type="containsText" dxfId="36" priority="6" operator="containsText" text="&quot;blanks&quot;">
      <formula>NOT(ISERROR(SEARCH("""blanks""",A3)))</formula>
    </cfRule>
  </conditionalFormatting>
  <conditionalFormatting sqref="E3">
    <cfRule type="containsText" dxfId="35" priority="7" operator="containsText" text="&quot;blanks&quot;">
      <formula>NOT(ISERROR(SEARCH("""blanks""",E3)))</formula>
    </cfRule>
  </conditionalFormatting>
  <conditionalFormatting sqref="I3:Y42">
    <cfRule type="containsText" dxfId="34" priority="1" operator="containsText" text="&quot;blanks&quot;">
      <formula>NOT(ISERROR(SEARCH("""blanks""",I3)))</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5641A-798E-4F3D-908D-776E97D382C2}">
  <dimension ref="A2:Q55"/>
  <sheetViews>
    <sheetView topLeftCell="A22" zoomScale="81" zoomScaleNormal="100" workbookViewId="0">
      <selection activeCell="A39" sqref="A39"/>
    </sheetView>
  </sheetViews>
  <sheetFormatPr defaultRowHeight="14.4" x14ac:dyDescent="0.3"/>
  <cols>
    <col min="1" max="1" width="24.77734375" customWidth="1"/>
    <col min="2" max="2" width="10.77734375" customWidth="1"/>
    <col min="3" max="3" width="13.77734375" customWidth="1"/>
    <col min="4" max="4" width="11.21875" customWidth="1"/>
    <col min="5" max="5" width="19.6640625" customWidth="1"/>
    <col min="6" max="6" width="13.77734375" customWidth="1"/>
    <col min="7" max="7" width="8.5546875" customWidth="1"/>
    <col min="8" max="8" width="16.77734375" customWidth="1"/>
    <col min="9" max="9" width="13.77734375" customWidth="1"/>
    <col min="10" max="10" width="8.6640625" customWidth="1"/>
    <col min="11" max="11" width="12" customWidth="1"/>
    <col min="12" max="12" width="18.6640625" customWidth="1"/>
    <col min="13" max="13" width="22.44140625" customWidth="1"/>
    <col min="14" max="14" width="7.5546875" customWidth="1"/>
    <col min="15" max="15" width="21.77734375" customWidth="1"/>
    <col min="16" max="16" width="13.77734375" customWidth="1"/>
    <col min="17" max="17" width="18" customWidth="1"/>
    <col min="18" max="18" width="13.77734375" customWidth="1"/>
    <col min="19" max="27" width="35.77734375" bestFit="1" customWidth="1"/>
    <col min="28" max="28" width="30.21875" bestFit="1" customWidth="1"/>
    <col min="29" max="29" width="24" bestFit="1" customWidth="1"/>
    <col min="30" max="30" width="15.21875" bestFit="1" customWidth="1"/>
    <col min="31" max="31" width="27.77734375" bestFit="1" customWidth="1"/>
    <col min="32" max="32" width="22.6640625" bestFit="1" customWidth="1"/>
    <col min="33" max="33" width="16.77734375" bestFit="1" customWidth="1"/>
    <col min="34" max="34" width="21.6640625" bestFit="1" customWidth="1"/>
    <col min="35" max="35" width="29.33203125" bestFit="1" customWidth="1"/>
    <col min="36" max="36" width="33.44140625" bestFit="1" customWidth="1"/>
    <col min="37" max="37" width="17.5546875" bestFit="1" customWidth="1"/>
    <col min="38" max="38" width="32.6640625" bestFit="1" customWidth="1"/>
    <col min="39" max="39" width="40.5546875" bestFit="1" customWidth="1"/>
    <col min="40" max="40" width="29.5546875" bestFit="1" customWidth="1"/>
    <col min="41" max="41" width="30.21875" bestFit="1" customWidth="1"/>
    <col min="42" max="42" width="24" bestFit="1" customWidth="1"/>
    <col min="43" max="43" width="15.21875" bestFit="1" customWidth="1"/>
    <col min="44" max="44" width="27.77734375" bestFit="1" customWidth="1"/>
    <col min="45" max="45" width="22.6640625" bestFit="1" customWidth="1"/>
    <col min="46" max="46" width="16.77734375" bestFit="1" customWidth="1"/>
    <col min="47" max="47" width="21.6640625" bestFit="1" customWidth="1"/>
    <col min="48" max="48" width="29.33203125" bestFit="1" customWidth="1"/>
    <col min="49" max="49" width="33.44140625" bestFit="1" customWidth="1"/>
    <col min="50" max="50" width="17.5546875" bestFit="1" customWidth="1"/>
    <col min="51" max="51" width="32.6640625" bestFit="1" customWidth="1"/>
    <col min="52" max="52" width="40.5546875" bestFit="1" customWidth="1"/>
    <col min="53" max="53" width="29.5546875" bestFit="1" customWidth="1"/>
    <col min="54" max="79" width="35.77734375" bestFit="1" customWidth="1"/>
    <col min="80" max="80" width="30.21875" bestFit="1" customWidth="1"/>
    <col min="81" max="81" width="24" bestFit="1" customWidth="1"/>
    <col min="82" max="82" width="15.21875" bestFit="1" customWidth="1"/>
    <col min="83" max="83" width="27.77734375" bestFit="1" customWidth="1"/>
    <col min="84" max="84" width="22.6640625" bestFit="1" customWidth="1"/>
    <col min="85" max="85" width="16.77734375" bestFit="1" customWidth="1"/>
    <col min="86" max="86" width="21.6640625" bestFit="1" customWidth="1"/>
    <col min="87" max="87" width="29.33203125" bestFit="1" customWidth="1"/>
    <col min="88" max="88" width="33.44140625" bestFit="1" customWidth="1"/>
    <col min="89" max="89" width="17.5546875" bestFit="1" customWidth="1"/>
    <col min="90" max="90" width="32.6640625" bestFit="1" customWidth="1"/>
    <col min="91" max="91" width="40.5546875" bestFit="1" customWidth="1"/>
    <col min="92" max="92" width="29.5546875" bestFit="1" customWidth="1"/>
    <col min="93" max="93" width="30.33203125" bestFit="1" customWidth="1"/>
    <col min="94" max="94" width="24.109375" bestFit="1" customWidth="1"/>
    <col min="95" max="95" width="15.33203125" bestFit="1" customWidth="1"/>
    <col min="96" max="96" width="27.88671875" bestFit="1" customWidth="1"/>
    <col min="97" max="97" width="22.77734375" bestFit="1" customWidth="1"/>
    <col min="98" max="98" width="16.88671875" bestFit="1" customWidth="1"/>
    <col min="99" max="99" width="21.77734375" bestFit="1" customWidth="1"/>
    <col min="100" max="100" width="29.5546875" bestFit="1" customWidth="1"/>
    <col min="101" max="101" width="33.6640625" bestFit="1" customWidth="1"/>
    <col min="102" max="102" width="17.6640625" bestFit="1" customWidth="1"/>
    <col min="103" max="103" width="32.77734375" bestFit="1" customWidth="1"/>
    <col min="104" max="104" width="40.6640625" bestFit="1" customWidth="1"/>
    <col min="105" max="105" width="29.6640625" bestFit="1" customWidth="1"/>
    <col min="106" max="196" width="35.77734375" bestFit="1" customWidth="1"/>
    <col min="197" max="197" width="36.6640625" bestFit="1" customWidth="1"/>
    <col min="198" max="198" width="30.5546875" bestFit="1" customWidth="1"/>
    <col min="199" max="199" width="21.77734375" bestFit="1" customWidth="1"/>
    <col min="200" max="200" width="34.33203125" bestFit="1" customWidth="1"/>
    <col min="201" max="201" width="29.109375" bestFit="1" customWidth="1"/>
    <col min="202" max="202" width="23.33203125" bestFit="1" customWidth="1"/>
    <col min="203" max="203" width="28.109375" bestFit="1" customWidth="1"/>
    <col min="204" max="204" width="35.88671875" bestFit="1" customWidth="1"/>
    <col min="205" max="205" width="40" bestFit="1" customWidth="1"/>
    <col min="206" max="206" width="24" bestFit="1" customWidth="1"/>
    <col min="207" max="207" width="39.21875" bestFit="1" customWidth="1"/>
    <col min="208" max="208" width="47.109375" bestFit="1" customWidth="1"/>
    <col min="209" max="209" width="36" bestFit="1" customWidth="1"/>
    <col min="210" max="300" width="35.77734375" bestFit="1" customWidth="1"/>
    <col min="301" max="301" width="31.21875" bestFit="1" customWidth="1"/>
    <col min="302" max="302" width="25" bestFit="1" customWidth="1"/>
    <col min="303" max="303" width="16.21875" bestFit="1" customWidth="1"/>
    <col min="304" max="304" width="28.77734375" bestFit="1" customWidth="1"/>
    <col min="305" max="305" width="23.6640625" bestFit="1" customWidth="1"/>
    <col min="306" max="306" width="17.88671875" bestFit="1" customWidth="1"/>
    <col min="307" max="307" width="22.6640625" bestFit="1" customWidth="1"/>
    <col min="308" max="308" width="30.44140625" bestFit="1" customWidth="1"/>
    <col min="309" max="309" width="34.5546875" bestFit="1" customWidth="1"/>
    <col min="310" max="310" width="18.5546875" bestFit="1" customWidth="1"/>
    <col min="311" max="311" width="33.77734375" bestFit="1" customWidth="1"/>
    <col min="312" max="312" width="41.5546875" bestFit="1" customWidth="1"/>
    <col min="313" max="313" width="30.5546875" bestFit="1" customWidth="1"/>
    <col min="314" max="378" width="35.77734375" bestFit="1" customWidth="1"/>
    <col min="379" max="379" width="30.33203125" bestFit="1" customWidth="1"/>
    <col min="380" max="380" width="24.109375" bestFit="1" customWidth="1"/>
    <col min="381" max="381" width="15.33203125" bestFit="1" customWidth="1"/>
    <col min="382" max="382" width="27.88671875" bestFit="1" customWidth="1"/>
    <col min="383" max="383" width="22.77734375" bestFit="1" customWidth="1"/>
    <col min="384" max="384" width="16.88671875" bestFit="1" customWidth="1"/>
    <col min="385" max="385" width="21.77734375" bestFit="1" customWidth="1"/>
    <col min="386" max="386" width="29.5546875" bestFit="1" customWidth="1"/>
    <col min="387" max="387" width="33.6640625" bestFit="1" customWidth="1"/>
    <col min="388" max="388" width="17.6640625" bestFit="1" customWidth="1"/>
    <col min="389" max="389" width="32.77734375" bestFit="1" customWidth="1"/>
    <col min="390" max="390" width="40.6640625" bestFit="1" customWidth="1"/>
    <col min="391" max="391" width="29.6640625" bestFit="1" customWidth="1"/>
    <col min="392" max="456" width="35.77734375" bestFit="1" customWidth="1"/>
    <col min="457" max="457" width="36.6640625" bestFit="1" customWidth="1"/>
    <col min="458" max="458" width="30.5546875" bestFit="1" customWidth="1"/>
    <col min="459" max="459" width="21.77734375" bestFit="1" customWidth="1"/>
    <col min="460" max="460" width="34.33203125" bestFit="1" customWidth="1"/>
    <col min="461" max="461" width="29.109375" bestFit="1" customWidth="1"/>
    <col min="462" max="462" width="23.33203125" bestFit="1" customWidth="1"/>
    <col min="463" max="463" width="28.109375" bestFit="1" customWidth="1"/>
    <col min="464" max="464" width="35.88671875" bestFit="1" customWidth="1"/>
    <col min="465" max="465" width="40" bestFit="1" customWidth="1"/>
    <col min="466" max="466" width="24" bestFit="1" customWidth="1"/>
    <col min="467" max="467" width="39.21875" bestFit="1" customWidth="1"/>
    <col min="468" max="468" width="47.109375" bestFit="1" customWidth="1"/>
    <col min="469" max="469" width="36" bestFit="1" customWidth="1"/>
    <col min="470" max="534" width="35.77734375" bestFit="1" customWidth="1"/>
    <col min="535" max="535" width="31.21875" bestFit="1" customWidth="1"/>
    <col min="536" max="536" width="25" bestFit="1" customWidth="1"/>
    <col min="537" max="537" width="16.21875" bestFit="1" customWidth="1"/>
    <col min="538" max="538" width="28.77734375" bestFit="1" customWidth="1"/>
    <col min="539" max="539" width="23.6640625" bestFit="1" customWidth="1"/>
    <col min="540" max="540" width="17.88671875" bestFit="1" customWidth="1"/>
    <col min="541" max="541" width="22.6640625" bestFit="1" customWidth="1"/>
    <col min="542" max="542" width="30.44140625" bestFit="1" customWidth="1"/>
    <col min="543" max="543" width="34.5546875" bestFit="1" customWidth="1"/>
    <col min="544" max="544" width="18.5546875" bestFit="1" customWidth="1"/>
    <col min="545" max="545" width="33.77734375" bestFit="1" customWidth="1"/>
    <col min="546" max="546" width="41.5546875" bestFit="1" customWidth="1"/>
    <col min="547" max="547" width="30.5546875" bestFit="1" customWidth="1"/>
    <col min="548" max="548" width="30.21875" bestFit="1" customWidth="1"/>
    <col min="549" max="549" width="24" bestFit="1" customWidth="1"/>
    <col min="550" max="550" width="15.21875" bestFit="1" customWidth="1"/>
    <col min="551" max="551" width="27.77734375" bestFit="1" customWidth="1"/>
    <col min="552" max="552" width="22.6640625" bestFit="1" customWidth="1"/>
    <col min="553" max="553" width="16.77734375" bestFit="1" customWidth="1"/>
    <col min="554" max="554" width="21.6640625" bestFit="1" customWidth="1"/>
    <col min="555" max="555" width="29.33203125" bestFit="1" customWidth="1"/>
    <col min="556" max="556" width="33.44140625" bestFit="1" customWidth="1"/>
    <col min="557" max="557" width="17.5546875" bestFit="1" customWidth="1"/>
    <col min="558" max="558" width="32.6640625" bestFit="1" customWidth="1"/>
    <col min="559" max="559" width="40.5546875" bestFit="1" customWidth="1"/>
    <col min="560" max="560" width="29.5546875" bestFit="1" customWidth="1"/>
  </cols>
  <sheetData>
    <row r="2" spans="1:12" x14ac:dyDescent="0.3">
      <c r="I2" s="15">
        <f>MAX(G2:G13)</f>
        <v>1.0374708304225577E-2</v>
      </c>
      <c r="J2" t="str">
        <f ca="1">_xlfn.FORMULATEXT(I2)</f>
        <v>=MAX(G2:G13)</v>
      </c>
    </row>
    <row r="3" spans="1:12" x14ac:dyDescent="0.3">
      <c r="A3" s="10" t="s">
        <v>54</v>
      </c>
      <c r="C3" s="10" t="s">
        <v>0</v>
      </c>
      <c r="I3" s="15">
        <f>MIN(G2:G13)</f>
        <v>-6.1748974474192071E-3</v>
      </c>
      <c r="J3" t="str">
        <f ca="1">_xlfn.FORMULATEXT(I3)</f>
        <v>=MIN(G2:G13)</v>
      </c>
    </row>
    <row r="4" spans="1:12" ht="15.6" x14ac:dyDescent="0.3">
      <c r="A4" s="10" t="s">
        <v>1</v>
      </c>
      <c r="B4" s="10" t="s">
        <v>2</v>
      </c>
      <c r="C4" t="s">
        <v>27</v>
      </c>
      <c r="D4" t="s">
        <v>30</v>
      </c>
      <c r="E4" t="s">
        <v>29</v>
      </c>
      <c r="F4" t="s">
        <v>51</v>
      </c>
      <c r="G4" s="2" t="s">
        <v>55</v>
      </c>
      <c r="L4" s="13"/>
    </row>
    <row r="5" spans="1:12" x14ac:dyDescent="0.3">
      <c r="A5">
        <v>2022</v>
      </c>
      <c r="B5" t="s">
        <v>34</v>
      </c>
      <c r="C5">
        <v>2226.8000000000002</v>
      </c>
      <c r="D5">
        <v>2238.9000000000005</v>
      </c>
      <c r="E5">
        <v>2262.2000000000003</v>
      </c>
      <c r="F5">
        <v>6727.9000000000015</v>
      </c>
      <c r="G5" t="s">
        <v>124</v>
      </c>
    </row>
    <row r="6" spans="1:12" x14ac:dyDescent="0.3">
      <c r="B6" t="s">
        <v>35</v>
      </c>
      <c r="C6">
        <v>2248.3000000000002</v>
      </c>
      <c r="D6">
        <v>2261.9</v>
      </c>
      <c r="E6">
        <v>2287.5</v>
      </c>
      <c r="F6">
        <v>6797.7000000000007</v>
      </c>
      <c r="G6" s="16">
        <f>(F6-F5)/F5</f>
        <v>1.0374708304225577E-2</v>
      </c>
      <c r="I6" s="15"/>
    </row>
    <row r="7" spans="1:12" x14ac:dyDescent="0.3">
      <c r="B7" t="s">
        <v>36</v>
      </c>
      <c r="C7">
        <v>2252.5</v>
      </c>
      <c r="D7">
        <v>2266.3000000000002</v>
      </c>
      <c r="E7">
        <v>2291.6</v>
      </c>
      <c r="F7">
        <v>6810.4</v>
      </c>
      <c r="G7" s="14">
        <f t="shared" ref="G7:G17" si="0">(F7-F6)/F6</f>
        <v>1.8682789767125508E-3</v>
      </c>
      <c r="I7" s="15"/>
    </row>
    <row r="8" spans="1:12" x14ac:dyDescent="0.3">
      <c r="B8" t="s">
        <v>37</v>
      </c>
      <c r="C8">
        <v>2255.7999999999997</v>
      </c>
      <c r="D8">
        <v>2269.2000000000003</v>
      </c>
      <c r="E8">
        <v>2293.6999999999998</v>
      </c>
      <c r="F8">
        <v>6818.7</v>
      </c>
      <c r="G8" s="14">
        <f t="shared" si="0"/>
        <v>1.2187243040056653E-3</v>
      </c>
    </row>
    <row r="9" spans="1:12" x14ac:dyDescent="0.3">
      <c r="B9" t="s">
        <v>38</v>
      </c>
      <c r="C9">
        <v>2267.8000000000002</v>
      </c>
      <c r="D9">
        <v>2280.9</v>
      </c>
      <c r="E9">
        <v>2306.4</v>
      </c>
      <c r="F9">
        <v>6855.1</v>
      </c>
      <c r="G9" s="14">
        <f>(F9-F8)/F8</f>
        <v>5.3382609588338752E-3</v>
      </c>
    </row>
    <row r="10" spans="1:12" x14ac:dyDescent="0.3">
      <c r="B10" t="s">
        <v>39</v>
      </c>
      <c r="C10">
        <v>2284.5</v>
      </c>
      <c r="D10">
        <v>2297.3000000000002</v>
      </c>
      <c r="E10">
        <v>2322.3000000000002</v>
      </c>
      <c r="F10">
        <v>6904.1</v>
      </c>
      <c r="G10" s="14">
        <f t="shared" si="0"/>
        <v>7.1479628305932807E-3</v>
      </c>
    </row>
    <row r="11" spans="1:12" x14ac:dyDescent="0.3">
      <c r="B11" t="s">
        <v>41</v>
      </c>
      <c r="C11">
        <v>2287.6999999999998</v>
      </c>
      <c r="D11">
        <v>2296.8000000000002</v>
      </c>
      <c r="E11">
        <v>2314.4</v>
      </c>
      <c r="F11">
        <v>6898.9</v>
      </c>
      <c r="G11" s="14">
        <f t="shared" si="0"/>
        <v>-7.5317564925199919E-4</v>
      </c>
    </row>
    <row r="12" spans="1:12" x14ac:dyDescent="0.3">
      <c r="B12" t="s">
        <v>42</v>
      </c>
      <c r="C12">
        <v>2277.1</v>
      </c>
      <c r="D12">
        <v>2283.4</v>
      </c>
      <c r="E12">
        <v>2295.7999999999997</v>
      </c>
      <c r="F12">
        <v>6856.2999999999993</v>
      </c>
      <c r="G12" s="16">
        <f t="shared" si="0"/>
        <v>-6.1748974474192071E-3</v>
      </c>
    </row>
    <row r="13" spans="1:12" x14ac:dyDescent="0.3">
      <c r="A13">
        <v>2023</v>
      </c>
      <c r="B13" t="s">
        <v>28</v>
      </c>
      <c r="C13">
        <v>2283.2000000000003</v>
      </c>
      <c r="D13">
        <v>2292.6999999999998</v>
      </c>
      <c r="E13">
        <v>2310.2000000000003</v>
      </c>
      <c r="F13">
        <v>6886.1</v>
      </c>
      <c r="G13" s="14">
        <f t="shared" si="0"/>
        <v>4.3463675743478395E-3</v>
      </c>
    </row>
    <row r="14" spans="1:12" ht="15.6" x14ac:dyDescent="0.3">
      <c r="B14" t="s">
        <v>31</v>
      </c>
      <c r="C14">
        <v>2265.6999999999998</v>
      </c>
      <c r="D14">
        <v>2279.1</v>
      </c>
      <c r="E14">
        <v>2303.1999999999998</v>
      </c>
      <c r="F14">
        <v>6847.9999999999991</v>
      </c>
      <c r="G14" s="14">
        <f t="shared" si="0"/>
        <v>-5.5328850873500634E-3</v>
      </c>
      <c r="J14" s="13"/>
    </row>
    <row r="15" spans="1:12" x14ac:dyDescent="0.3">
      <c r="B15" t="s">
        <v>32</v>
      </c>
      <c r="C15">
        <v>2265.8000000000002</v>
      </c>
      <c r="D15">
        <v>2279.1999999999998</v>
      </c>
      <c r="E15">
        <v>2303.4</v>
      </c>
      <c r="F15">
        <v>6848.4</v>
      </c>
      <c r="G15" s="14">
        <f t="shared" si="0"/>
        <v>5.8411214953350726E-5</v>
      </c>
    </row>
    <row r="16" spans="1:12" x14ac:dyDescent="0.3">
      <c r="B16" t="s">
        <v>33</v>
      </c>
      <c r="C16">
        <v>2274.1999999999998</v>
      </c>
      <c r="D16">
        <v>2289.6000000000004</v>
      </c>
      <c r="E16">
        <v>2317.7000000000003</v>
      </c>
      <c r="F16">
        <v>6881.5</v>
      </c>
      <c r="G16" s="14">
        <f t="shared" si="0"/>
        <v>4.8332457216284626E-3</v>
      </c>
    </row>
    <row r="17" spans="1:17" x14ac:dyDescent="0.3">
      <c r="B17" t="s">
        <v>34</v>
      </c>
      <c r="C17">
        <v>2290.7000000000007</v>
      </c>
      <c r="D17">
        <v>2306.9</v>
      </c>
      <c r="E17">
        <v>2335.1</v>
      </c>
      <c r="F17">
        <v>6932.7000000000007</v>
      </c>
      <c r="G17" s="14">
        <f t="shared" si="0"/>
        <v>7.4402383201337971E-3</v>
      </c>
    </row>
    <row r="18" spans="1:17" x14ac:dyDescent="0.3">
      <c r="G18" s="14"/>
    </row>
    <row r="19" spans="1:17" ht="15.6" x14ac:dyDescent="0.3">
      <c r="A19" s="13" t="s">
        <v>126</v>
      </c>
    </row>
    <row r="21" spans="1:17" ht="15.6" x14ac:dyDescent="0.3">
      <c r="A21" s="11" t="s">
        <v>56</v>
      </c>
    </row>
    <row r="22" spans="1:17" ht="15.6" x14ac:dyDescent="0.3">
      <c r="A22" s="11"/>
      <c r="J22" s="1"/>
      <c r="K22" s="1"/>
      <c r="L22" s="1"/>
      <c r="O22" s="1"/>
    </row>
    <row r="23" spans="1:17" x14ac:dyDescent="0.3">
      <c r="A23" s="1" t="s">
        <v>57</v>
      </c>
      <c r="B23" s="1" t="s">
        <v>1</v>
      </c>
      <c r="C23" s="1" t="s">
        <v>2</v>
      </c>
      <c r="D23" s="1" t="s">
        <v>44</v>
      </c>
      <c r="E23" s="1" t="s">
        <v>3</v>
      </c>
      <c r="F23" s="1" t="s">
        <v>4</v>
      </c>
      <c r="G23" s="1" t="s">
        <v>5</v>
      </c>
      <c r="H23" s="1" t="s">
        <v>6</v>
      </c>
      <c r="I23" s="1" t="s">
        <v>7</v>
      </c>
      <c r="J23" s="1" t="s">
        <v>8</v>
      </c>
      <c r="K23" s="1" t="s">
        <v>9</v>
      </c>
      <c r="L23" s="1" t="s">
        <v>10</v>
      </c>
      <c r="M23" s="1" t="s">
        <v>11</v>
      </c>
      <c r="N23" s="1" t="s">
        <v>12</v>
      </c>
      <c r="O23" s="1" t="s">
        <v>47</v>
      </c>
      <c r="P23" s="1" t="s">
        <v>45</v>
      </c>
      <c r="Q23" s="1" t="s">
        <v>13</v>
      </c>
    </row>
    <row r="24" spans="1:17" x14ac:dyDescent="0.3">
      <c r="A24" t="s">
        <v>30</v>
      </c>
      <c r="B24">
        <v>2022</v>
      </c>
      <c r="C24" t="s">
        <v>35</v>
      </c>
      <c r="D24">
        <v>6</v>
      </c>
      <c r="E24">
        <v>155</v>
      </c>
      <c r="F24">
        <v>219.4</v>
      </c>
      <c r="G24">
        <v>170.8</v>
      </c>
      <c r="H24">
        <v>165.8</v>
      </c>
      <c r="I24">
        <v>200.9</v>
      </c>
      <c r="J24">
        <v>169.7</v>
      </c>
      <c r="K24">
        <v>182.3</v>
      </c>
      <c r="L24">
        <v>164.3</v>
      </c>
      <c r="M24">
        <v>119.9</v>
      </c>
      <c r="N24">
        <v>187.1</v>
      </c>
      <c r="O24">
        <v>167.9</v>
      </c>
      <c r="P24">
        <v>183.9</v>
      </c>
      <c r="Q24">
        <v>174.9</v>
      </c>
    </row>
    <row r="25" spans="1:17" x14ac:dyDescent="0.3">
      <c r="A25" t="s">
        <v>30</v>
      </c>
      <c r="B25">
        <v>2022</v>
      </c>
      <c r="C25" t="s">
        <v>36</v>
      </c>
      <c r="D25">
        <v>7</v>
      </c>
      <c r="E25">
        <v>156.5</v>
      </c>
      <c r="F25">
        <v>213</v>
      </c>
      <c r="G25">
        <v>175.2</v>
      </c>
      <c r="H25">
        <v>166.6</v>
      </c>
      <c r="I25">
        <v>195.8</v>
      </c>
      <c r="J25">
        <v>174.2</v>
      </c>
      <c r="K25">
        <v>182.1</v>
      </c>
      <c r="L25">
        <v>164.3</v>
      </c>
      <c r="M25">
        <v>120</v>
      </c>
      <c r="N25">
        <v>190</v>
      </c>
      <c r="O25">
        <v>168.4</v>
      </c>
      <c r="P25">
        <v>185.2</v>
      </c>
      <c r="Q25">
        <v>175</v>
      </c>
    </row>
    <row r="26" spans="1:17" x14ac:dyDescent="0.3">
      <c r="A26" t="s">
        <v>30</v>
      </c>
      <c r="B26">
        <v>2022</v>
      </c>
      <c r="C26" t="s">
        <v>37</v>
      </c>
      <c r="D26">
        <v>8</v>
      </c>
      <c r="E26">
        <v>160.30000000000001</v>
      </c>
      <c r="F26">
        <v>206.5</v>
      </c>
      <c r="G26">
        <v>169.2</v>
      </c>
      <c r="H26">
        <v>168.1</v>
      </c>
      <c r="I26">
        <v>192.4</v>
      </c>
      <c r="J26">
        <v>172.9</v>
      </c>
      <c r="K26">
        <v>186.7</v>
      </c>
      <c r="L26">
        <v>167.2</v>
      </c>
      <c r="M26">
        <v>120.9</v>
      </c>
      <c r="N26">
        <v>193.6</v>
      </c>
      <c r="O26">
        <v>168.8</v>
      </c>
      <c r="P26">
        <v>186.3</v>
      </c>
      <c r="Q26">
        <v>176.3</v>
      </c>
    </row>
    <row r="27" spans="1:17" x14ac:dyDescent="0.3">
      <c r="A27" t="s">
        <v>30</v>
      </c>
      <c r="B27">
        <v>2022</v>
      </c>
      <c r="C27" t="s">
        <v>38</v>
      </c>
      <c r="D27">
        <v>9</v>
      </c>
      <c r="E27">
        <v>163.5</v>
      </c>
      <c r="F27">
        <v>209.2</v>
      </c>
      <c r="G27">
        <v>169.7</v>
      </c>
      <c r="H27">
        <v>169.7</v>
      </c>
      <c r="I27">
        <v>188.7</v>
      </c>
      <c r="J27">
        <v>165.7</v>
      </c>
      <c r="K27">
        <v>191.8</v>
      </c>
      <c r="L27">
        <v>169.1</v>
      </c>
      <c r="M27">
        <v>121.6</v>
      </c>
      <c r="N27">
        <v>197.3</v>
      </c>
      <c r="O27">
        <v>169.4</v>
      </c>
      <c r="P27">
        <v>187.4</v>
      </c>
      <c r="Q27">
        <v>177.8</v>
      </c>
    </row>
    <row r="28" spans="1:17" x14ac:dyDescent="0.3">
      <c r="A28" t="s">
        <v>30</v>
      </c>
      <c r="B28">
        <v>2022</v>
      </c>
      <c r="C28" t="s">
        <v>39</v>
      </c>
      <c r="D28">
        <v>10</v>
      </c>
      <c r="E28">
        <v>165.2</v>
      </c>
      <c r="F28">
        <v>210.9</v>
      </c>
      <c r="G28">
        <v>170.9</v>
      </c>
      <c r="H28">
        <v>170.9</v>
      </c>
      <c r="I28">
        <v>186.5</v>
      </c>
      <c r="J28">
        <v>163.80000000000001</v>
      </c>
      <c r="K28">
        <v>199.7</v>
      </c>
      <c r="L28">
        <v>169.8</v>
      </c>
      <c r="M28">
        <v>121.9</v>
      </c>
      <c r="N28">
        <v>199.9</v>
      </c>
      <c r="O28">
        <v>169.9</v>
      </c>
      <c r="P28">
        <v>188.3</v>
      </c>
      <c r="Q28">
        <v>179.6</v>
      </c>
    </row>
    <row r="29" spans="1:17" x14ac:dyDescent="0.3">
      <c r="A29" t="s">
        <v>30</v>
      </c>
      <c r="B29">
        <v>2022</v>
      </c>
      <c r="C29" t="s">
        <v>41</v>
      </c>
      <c r="D29">
        <v>11</v>
      </c>
      <c r="E29">
        <v>167.4</v>
      </c>
      <c r="F29">
        <v>209.4</v>
      </c>
      <c r="G29">
        <v>181.4</v>
      </c>
      <c r="H29">
        <v>172.3</v>
      </c>
      <c r="I29">
        <v>188.9</v>
      </c>
      <c r="J29">
        <v>160.69999999999999</v>
      </c>
      <c r="K29">
        <v>183.1</v>
      </c>
      <c r="L29">
        <v>170.5</v>
      </c>
      <c r="M29">
        <v>122.1</v>
      </c>
      <c r="N29">
        <v>202.8</v>
      </c>
      <c r="O29">
        <v>170.4</v>
      </c>
      <c r="P29">
        <v>189.5</v>
      </c>
      <c r="Q29">
        <v>178.3</v>
      </c>
    </row>
    <row r="30" spans="1:17" x14ac:dyDescent="0.3">
      <c r="A30" t="s">
        <v>30</v>
      </c>
      <c r="B30">
        <v>2022</v>
      </c>
      <c r="C30" t="s">
        <v>42</v>
      </c>
      <c r="D30">
        <v>12</v>
      </c>
      <c r="E30">
        <v>169.2</v>
      </c>
      <c r="F30">
        <v>209</v>
      </c>
      <c r="G30">
        <v>190.2</v>
      </c>
      <c r="H30">
        <v>173.6</v>
      </c>
      <c r="I30">
        <v>188.5</v>
      </c>
      <c r="J30">
        <v>158</v>
      </c>
      <c r="K30">
        <v>159.9</v>
      </c>
      <c r="L30">
        <v>170.8</v>
      </c>
      <c r="M30">
        <v>121.8</v>
      </c>
      <c r="N30">
        <v>205.2</v>
      </c>
      <c r="O30">
        <v>171</v>
      </c>
      <c r="P30">
        <v>190.3</v>
      </c>
      <c r="Q30">
        <v>175.9</v>
      </c>
    </row>
    <row r="31" spans="1:17" x14ac:dyDescent="0.3">
      <c r="A31" t="s">
        <v>30</v>
      </c>
      <c r="B31">
        <v>2023</v>
      </c>
      <c r="C31" t="s">
        <v>28</v>
      </c>
      <c r="D31">
        <v>1</v>
      </c>
      <c r="E31">
        <v>173.8</v>
      </c>
      <c r="F31">
        <v>210.7</v>
      </c>
      <c r="G31">
        <v>194.5</v>
      </c>
      <c r="H31">
        <v>174.6</v>
      </c>
      <c r="I31">
        <v>187.2</v>
      </c>
      <c r="J31">
        <v>158.30000000000001</v>
      </c>
      <c r="K31">
        <v>153.9</v>
      </c>
      <c r="L31">
        <v>170.9</v>
      </c>
      <c r="M31">
        <v>121.1</v>
      </c>
      <c r="N31">
        <v>208.4</v>
      </c>
      <c r="O31">
        <v>171.4</v>
      </c>
      <c r="P31">
        <v>191.2</v>
      </c>
      <c r="Q31">
        <v>176.7</v>
      </c>
    </row>
    <row r="32" spans="1:17" x14ac:dyDescent="0.3">
      <c r="A32" t="s">
        <v>30</v>
      </c>
      <c r="B32">
        <v>2023</v>
      </c>
      <c r="C32" t="s">
        <v>31</v>
      </c>
      <c r="D32">
        <v>2</v>
      </c>
      <c r="E32">
        <v>174.4</v>
      </c>
      <c r="F32">
        <v>207.7</v>
      </c>
      <c r="G32">
        <v>175.2</v>
      </c>
      <c r="H32">
        <v>177.3</v>
      </c>
      <c r="I32">
        <v>179.3</v>
      </c>
      <c r="J32">
        <v>169.5</v>
      </c>
      <c r="K32">
        <v>152.69999999999999</v>
      </c>
      <c r="L32">
        <v>171</v>
      </c>
      <c r="M32">
        <v>120</v>
      </c>
      <c r="N32">
        <v>209.7</v>
      </c>
      <c r="O32">
        <v>172.3</v>
      </c>
      <c r="P32">
        <v>193</v>
      </c>
      <c r="Q32">
        <v>177</v>
      </c>
    </row>
    <row r="33" spans="1:17" x14ac:dyDescent="0.3">
      <c r="A33" t="s">
        <v>30</v>
      </c>
      <c r="B33">
        <v>2023</v>
      </c>
      <c r="C33" t="s">
        <v>32</v>
      </c>
      <c r="D33">
        <v>3</v>
      </c>
      <c r="E33">
        <v>174.4</v>
      </c>
      <c r="F33">
        <v>207.7</v>
      </c>
      <c r="G33">
        <v>175.2</v>
      </c>
      <c r="H33">
        <v>177.3</v>
      </c>
      <c r="I33">
        <v>179.2</v>
      </c>
      <c r="J33">
        <v>169.5</v>
      </c>
      <c r="K33">
        <v>152.80000000000001</v>
      </c>
      <c r="L33">
        <v>171.1</v>
      </c>
      <c r="M33">
        <v>120</v>
      </c>
      <c r="N33">
        <v>209.7</v>
      </c>
      <c r="O33">
        <v>172.3</v>
      </c>
      <c r="P33">
        <v>193</v>
      </c>
      <c r="Q33">
        <v>177</v>
      </c>
    </row>
    <row r="34" spans="1:17" x14ac:dyDescent="0.3">
      <c r="A34" t="s">
        <v>30</v>
      </c>
      <c r="B34">
        <v>2023</v>
      </c>
      <c r="C34" t="s">
        <v>33</v>
      </c>
      <c r="D34">
        <v>4</v>
      </c>
      <c r="E34">
        <v>173.8</v>
      </c>
      <c r="F34">
        <v>209.3</v>
      </c>
      <c r="G34">
        <v>169.6</v>
      </c>
      <c r="H34">
        <v>178.4</v>
      </c>
      <c r="I34">
        <v>174.9</v>
      </c>
      <c r="J34">
        <v>176.3</v>
      </c>
      <c r="K34">
        <v>155.4</v>
      </c>
      <c r="L34">
        <v>173.4</v>
      </c>
      <c r="M34">
        <v>121.3</v>
      </c>
      <c r="N34">
        <v>212.9</v>
      </c>
      <c r="O34">
        <v>172.9</v>
      </c>
      <c r="P34">
        <v>193.5</v>
      </c>
      <c r="Q34">
        <v>177.9</v>
      </c>
    </row>
    <row r="35" spans="1:17" x14ac:dyDescent="0.3">
      <c r="A35" t="s">
        <v>30</v>
      </c>
      <c r="B35">
        <v>2023</v>
      </c>
      <c r="C35" t="s">
        <v>34</v>
      </c>
      <c r="D35">
        <v>5</v>
      </c>
      <c r="E35">
        <v>173.7</v>
      </c>
      <c r="F35">
        <v>214.3</v>
      </c>
      <c r="G35">
        <v>173.2</v>
      </c>
      <c r="H35">
        <v>179.5</v>
      </c>
      <c r="I35">
        <v>170</v>
      </c>
      <c r="J35">
        <v>172.2</v>
      </c>
      <c r="K35">
        <v>161</v>
      </c>
      <c r="L35">
        <v>175.6</v>
      </c>
      <c r="M35">
        <v>122.7</v>
      </c>
      <c r="N35">
        <v>218</v>
      </c>
      <c r="O35">
        <v>173.4</v>
      </c>
      <c r="P35">
        <v>194.2</v>
      </c>
      <c r="Q35">
        <v>179.1</v>
      </c>
    </row>
    <row r="36" spans="1:17" x14ac:dyDescent="0.3">
      <c r="D36" s="2" t="s">
        <v>55</v>
      </c>
      <c r="E36" s="16">
        <f>(E35-E24)/E24</f>
        <v>0.1206451612903225</v>
      </c>
      <c r="F36" s="14">
        <f>(F35-F24)/F24</f>
        <v>-2.3245214220601614E-2</v>
      </c>
      <c r="G36" s="14">
        <f>(G35-G24)/G24</f>
        <v>1.4051522248243426E-2</v>
      </c>
      <c r="H36" s="14">
        <f t="shared" ref="H36:Q36" si="1">(H35-H24)/H24</f>
        <v>8.2629674306393175E-2</v>
      </c>
      <c r="I36" s="14">
        <f>(I35-I24)/I24</f>
        <v>-0.15380786460925835</v>
      </c>
      <c r="J36" s="14">
        <f t="shared" si="1"/>
        <v>1.4731879787860933E-2</v>
      </c>
      <c r="K36" s="14">
        <f t="shared" si="1"/>
        <v>-0.11684037301151953</v>
      </c>
      <c r="L36" s="14">
        <f t="shared" si="1"/>
        <v>6.8776628119293873E-2</v>
      </c>
      <c r="M36" s="14">
        <f t="shared" si="1"/>
        <v>2.3352793994995805E-2</v>
      </c>
      <c r="N36" s="16">
        <f t="shared" si="1"/>
        <v>0.16515232495991453</v>
      </c>
      <c r="O36" s="14">
        <f t="shared" si="1"/>
        <v>3.2757593805836809E-2</v>
      </c>
      <c r="P36" s="14">
        <f t="shared" si="1"/>
        <v>5.6008700380641561E-2</v>
      </c>
      <c r="Q36" s="14">
        <f t="shared" si="1"/>
        <v>2.4013722126929607E-2</v>
      </c>
    </row>
    <row r="39" spans="1:17" ht="15.6" x14ac:dyDescent="0.3">
      <c r="A39" s="13" t="s">
        <v>58</v>
      </c>
      <c r="C39" s="13"/>
    </row>
    <row r="53" spans="1:3" ht="15.6" x14ac:dyDescent="0.3">
      <c r="C53" s="13"/>
    </row>
    <row r="55" spans="1:3" x14ac:dyDescent="0.3">
      <c r="A55" s="2"/>
    </row>
  </sheetData>
  <conditionalFormatting sqref="A23:Q35">
    <cfRule type="containsText" dxfId="33" priority="1" operator="containsText" text="&quot;blanks&quot;">
      <formula>NOT(ISERROR(SEARCH("""blanks""",A23)))</formula>
    </cfRule>
  </conditionalFormatting>
  <conditionalFormatting sqref="B37">
    <cfRule type="containsText" dxfId="32" priority="3" operator="containsText" text="&quot;blanks&quot;">
      <formula>NOT(ISERROR(SEARCH("""blanks""",B37)))</formula>
    </cfRule>
  </conditionalFormatting>
  <conditionalFormatting sqref="J22">
    <cfRule type="containsText" dxfId="31" priority="10" operator="containsText" text="&quot;blanks&quot;">
      <formula>NOT(ISERROR(SEARCH("""blanks""",J22)))</formula>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FC76-2B6F-4511-8DB6-F6CDE4275553}">
  <dimension ref="A1:V62"/>
  <sheetViews>
    <sheetView topLeftCell="A34" zoomScale="88" zoomScaleNormal="88" workbookViewId="0">
      <selection activeCell="F7" sqref="F7"/>
    </sheetView>
  </sheetViews>
  <sheetFormatPr defaultRowHeight="14.4" x14ac:dyDescent="0.3"/>
  <cols>
    <col min="1" max="1" width="7.77734375" customWidth="1"/>
    <col min="2" max="2" width="6.77734375" bestFit="1" customWidth="1"/>
    <col min="3" max="3" width="9.44140625" customWidth="1"/>
    <col min="4" max="5" width="0" hidden="1" customWidth="1"/>
    <col min="6" max="6" width="8.109375" bestFit="1" customWidth="1"/>
    <col min="7" max="7" width="11.33203125" bestFit="1" customWidth="1"/>
    <col min="8" max="8" width="7.5546875" customWidth="1"/>
    <col min="9" max="9" width="6.77734375" bestFit="1" customWidth="1"/>
    <col min="10" max="10" width="18.109375" bestFit="1" customWidth="1"/>
    <col min="11" max="11" width="8.109375" bestFit="1" customWidth="1"/>
    <col min="13" max="13" width="7.109375" customWidth="1"/>
    <col min="14" max="14" width="6.77734375" bestFit="1" customWidth="1"/>
    <col min="15" max="15" width="15.5546875" bestFit="1" customWidth="1"/>
    <col min="16" max="16" width="8.109375" bestFit="1" customWidth="1"/>
    <col min="21" max="21" width="17.5546875" customWidth="1"/>
    <col min="22" max="22" width="15.21875" customWidth="1"/>
  </cols>
  <sheetData>
    <row r="1" spans="1:22" ht="18" x14ac:dyDescent="0.35">
      <c r="A1" s="75" t="s">
        <v>160</v>
      </c>
    </row>
    <row r="3" spans="1:22" ht="18" x14ac:dyDescent="0.35">
      <c r="A3" s="82" t="s">
        <v>64</v>
      </c>
      <c r="B3" s="82"/>
      <c r="C3" s="82"/>
      <c r="D3" s="82"/>
      <c r="E3" s="82"/>
      <c r="F3" s="82"/>
      <c r="G3" s="82"/>
      <c r="H3" s="82"/>
      <c r="I3" s="82"/>
      <c r="J3" s="82"/>
      <c r="K3" s="82"/>
      <c r="L3" s="82"/>
      <c r="M3" s="82"/>
      <c r="N3" s="82"/>
      <c r="O3" s="82"/>
      <c r="P3" s="82"/>
    </row>
    <row r="4" spans="1:22" ht="18" x14ac:dyDescent="0.35">
      <c r="F4" s="22"/>
    </row>
    <row r="5" spans="1:22" ht="15.6" x14ac:dyDescent="0.3">
      <c r="A5" s="45" t="s">
        <v>1</v>
      </c>
      <c r="B5" s="45" t="s">
        <v>2</v>
      </c>
      <c r="C5" s="45" t="s">
        <v>21</v>
      </c>
      <c r="D5" s="46"/>
      <c r="E5" s="46"/>
      <c r="F5" s="45" t="s">
        <v>55</v>
      </c>
      <c r="G5" s="1"/>
      <c r="H5" s="45" t="s">
        <v>1</v>
      </c>
      <c r="I5" s="45" t="s">
        <v>2</v>
      </c>
      <c r="J5" s="45" t="s">
        <v>50</v>
      </c>
      <c r="K5" s="45" t="s">
        <v>55</v>
      </c>
      <c r="L5" s="1"/>
      <c r="M5" s="45" t="s">
        <v>1</v>
      </c>
      <c r="N5" s="45" t="s">
        <v>2</v>
      </c>
      <c r="O5" s="45" t="s">
        <v>59</v>
      </c>
      <c r="P5" s="54" t="s">
        <v>55</v>
      </c>
      <c r="S5" s="84" t="s">
        <v>127</v>
      </c>
      <c r="T5" s="85"/>
      <c r="U5" s="85"/>
      <c r="V5" s="86"/>
    </row>
    <row r="6" spans="1:22" x14ac:dyDescent="0.3">
      <c r="A6" s="46">
        <v>2017</v>
      </c>
      <c r="B6" s="46" t="s">
        <v>32</v>
      </c>
      <c r="C6" s="46">
        <v>130.6</v>
      </c>
      <c r="D6" s="46"/>
      <c r="E6" s="46"/>
      <c r="F6" s="47" t="s">
        <v>124</v>
      </c>
      <c r="H6" s="46">
        <v>2017</v>
      </c>
      <c r="I6" s="46" t="s">
        <v>32</v>
      </c>
      <c r="J6" s="46">
        <v>1728.5000000000002</v>
      </c>
      <c r="K6" s="46" t="s">
        <v>124</v>
      </c>
      <c r="M6" s="46">
        <v>2017</v>
      </c>
      <c r="N6" s="46" t="s">
        <v>32</v>
      </c>
      <c r="O6" s="46">
        <v>375.5</v>
      </c>
      <c r="P6" s="46" t="s">
        <v>124</v>
      </c>
      <c r="S6" s="45" t="s">
        <v>1</v>
      </c>
      <c r="T6" s="50" t="s">
        <v>21</v>
      </c>
      <c r="U6" s="45" t="s">
        <v>50</v>
      </c>
      <c r="V6" s="45" t="s">
        <v>59</v>
      </c>
    </row>
    <row r="7" spans="1:22" x14ac:dyDescent="0.3">
      <c r="A7" s="46">
        <v>2018</v>
      </c>
      <c r="B7" s="46" t="s">
        <v>32</v>
      </c>
      <c r="C7" s="46">
        <v>136.69999999999999</v>
      </c>
      <c r="D7" s="46"/>
      <c r="E7" s="46"/>
      <c r="F7" s="48">
        <f t="shared" ref="F7:F12" si="0">(C7-C6)/C6</f>
        <v>4.6707503828483876E-2</v>
      </c>
      <c r="H7" s="46">
        <v>2018</v>
      </c>
      <c r="I7" s="46" t="s">
        <v>32</v>
      </c>
      <c r="J7" s="46">
        <v>1781.9999999999998</v>
      </c>
      <c r="K7" s="48">
        <f>(J7-J6)/J6</f>
        <v>3.0951692218686454E-2</v>
      </c>
      <c r="L7" s="14"/>
      <c r="M7" s="46">
        <v>2018</v>
      </c>
      <c r="N7" s="46" t="s">
        <v>32</v>
      </c>
      <c r="O7" s="46">
        <v>393</v>
      </c>
      <c r="P7" s="48">
        <f>(O7-O6)/O6</f>
        <v>4.6604527296937419E-2</v>
      </c>
      <c r="S7" s="46">
        <v>2018</v>
      </c>
      <c r="T7" s="48">
        <v>4.6707503828483876E-2</v>
      </c>
      <c r="U7" s="49">
        <v>3.0951692218686454E-2</v>
      </c>
      <c r="V7" s="48">
        <v>4.6604527296937419E-2</v>
      </c>
    </row>
    <row r="8" spans="1:22" x14ac:dyDescent="0.3">
      <c r="A8" s="46">
        <v>2019</v>
      </c>
      <c r="B8" s="46" t="s">
        <v>32</v>
      </c>
      <c r="C8" s="46">
        <v>150.4</v>
      </c>
      <c r="D8" s="46"/>
      <c r="E8" s="46"/>
      <c r="F8" s="48">
        <f t="shared" si="0"/>
        <v>0.10021945866861755</v>
      </c>
      <c r="H8" s="46">
        <v>2019</v>
      </c>
      <c r="I8" s="46" t="s">
        <v>32</v>
      </c>
      <c r="J8" s="46">
        <v>1761.2000000000003</v>
      </c>
      <c r="K8" s="48">
        <f t="shared" ref="K8:K11" si="1">(J8-J7)/J7</f>
        <v>-1.1672278338944726E-2</v>
      </c>
      <c r="L8" s="14"/>
      <c r="M8" s="46">
        <v>2019</v>
      </c>
      <c r="N8" s="46" t="s">
        <v>32</v>
      </c>
      <c r="O8" s="46">
        <v>416.1</v>
      </c>
      <c r="P8" s="48">
        <f t="shared" ref="P8:P12" si="2">(O8-O7)/O7</f>
        <v>5.8778625954198534E-2</v>
      </c>
      <c r="S8" s="46">
        <v>2019</v>
      </c>
      <c r="T8" s="48">
        <v>0.10021945866861755</v>
      </c>
      <c r="U8" s="49">
        <v>-1.1672278338944726E-2</v>
      </c>
      <c r="V8" s="48">
        <v>5.8778625954198534E-2</v>
      </c>
    </row>
    <row r="9" spans="1:22" x14ac:dyDescent="0.3">
      <c r="A9" s="46">
        <v>2020</v>
      </c>
      <c r="B9" s="46" t="s">
        <v>32</v>
      </c>
      <c r="C9" s="46">
        <v>156.69999999999999</v>
      </c>
      <c r="D9" s="46"/>
      <c r="E9" s="46"/>
      <c r="F9" s="48">
        <f t="shared" si="0"/>
        <v>4.1888297872340309E-2</v>
      </c>
      <c r="H9" s="46">
        <v>2020</v>
      </c>
      <c r="I9" s="46" t="s">
        <v>32</v>
      </c>
      <c r="J9" s="46">
        <v>1894.5999999999997</v>
      </c>
      <c r="K9" s="48">
        <f>(J9-J8)/J8</f>
        <v>7.5743811037928335E-2</v>
      </c>
      <c r="L9" s="14"/>
      <c r="M9" s="46">
        <v>2020</v>
      </c>
      <c r="N9" s="46" t="s">
        <v>32</v>
      </c>
      <c r="O9" s="46">
        <v>435.6</v>
      </c>
      <c r="P9" s="48">
        <f t="shared" si="2"/>
        <v>4.686373467916366E-2</v>
      </c>
      <c r="S9" s="46">
        <v>2020</v>
      </c>
      <c r="T9" s="48">
        <v>4.1888297872340309E-2</v>
      </c>
      <c r="U9" s="49">
        <v>7.5743811037928335E-2</v>
      </c>
      <c r="V9" s="48">
        <v>4.686373467916366E-2</v>
      </c>
    </row>
    <row r="10" spans="1:22" x14ac:dyDescent="0.3">
      <c r="A10" s="46">
        <v>2021</v>
      </c>
      <c r="B10" s="46" t="s">
        <v>32</v>
      </c>
      <c r="C10" s="46">
        <v>164.6</v>
      </c>
      <c r="D10" s="46"/>
      <c r="E10" s="46"/>
      <c r="F10" s="48">
        <f t="shared" si="0"/>
        <v>5.0414805360561622E-2</v>
      </c>
      <c r="H10" s="46">
        <v>2021</v>
      </c>
      <c r="I10" s="46" t="s">
        <v>32</v>
      </c>
      <c r="J10" s="46">
        <v>2025.7</v>
      </c>
      <c r="K10" s="48">
        <f t="shared" si="1"/>
        <v>6.919666420352602E-2</v>
      </c>
      <c r="L10" s="14"/>
      <c r="M10" s="46">
        <v>2021</v>
      </c>
      <c r="N10" s="46" t="s">
        <v>32</v>
      </c>
      <c r="O10" s="46">
        <v>466.40000000000003</v>
      </c>
      <c r="P10" s="48">
        <f t="shared" si="2"/>
        <v>7.0707070707070732E-2</v>
      </c>
      <c r="S10" s="46">
        <v>2021</v>
      </c>
      <c r="T10" s="48">
        <v>5.0414805360561622E-2</v>
      </c>
      <c r="U10" s="49">
        <v>6.919666420352602E-2</v>
      </c>
      <c r="V10" s="48">
        <v>7.0707070707070732E-2</v>
      </c>
    </row>
    <row r="11" spans="1:22" x14ac:dyDescent="0.3">
      <c r="A11" s="46">
        <v>2022</v>
      </c>
      <c r="B11" s="46" t="s">
        <v>32</v>
      </c>
      <c r="C11" s="46">
        <v>176</v>
      </c>
      <c r="D11" s="46"/>
      <c r="E11" s="46"/>
      <c r="F11" s="48">
        <f t="shared" si="0"/>
        <v>6.9258809234507931E-2</v>
      </c>
      <c r="H11" s="46">
        <v>2022</v>
      </c>
      <c r="I11" s="46" t="s">
        <v>32</v>
      </c>
      <c r="J11" s="46">
        <v>2179.1000000000004</v>
      </c>
      <c r="K11" s="48">
        <f t="shared" si="1"/>
        <v>7.5726909216567273E-2</v>
      </c>
      <c r="L11" s="14"/>
      <c r="M11" s="46">
        <v>2022</v>
      </c>
      <c r="N11" s="46" t="s">
        <v>32</v>
      </c>
      <c r="O11" s="46">
        <v>496.90000000000003</v>
      </c>
      <c r="P11" s="48">
        <f t="shared" si="2"/>
        <v>6.5394511149228132E-2</v>
      </c>
      <c r="S11" s="46">
        <v>2022</v>
      </c>
      <c r="T11" s="48">
        <v>6.9258809234507931E-2</v>
      </c>
      <c r="U11" s="49">
        <v>7.5726909216567273E-2</v>
      </c>
      <c r="V11" s="48">
        <v>6.5394511149228132E-2</v>
      </c>
    </row>
    <row r="12" spans="1:22" ht="18.600000000000001" customHeight="1" x14ac:dyDescent="0.3">
      <c r="A12" s="46">
        <v>2023</v>
      </c>
      <c r="B12" s="46" t="s">
        <v>32</v>
      </c>
      <c r="C12" s="46">
        <v>186.6</v>
      </c>
      <c r="D12" s="46"/>
      <c r="E12" s="46"/>
      <c r="F12" s="48">
        <f t="shared" si="0"/>
        <v>6.0227272727272692E-2</v>
      </c>
      <c r="H12" s="46">
        <v>2023</v>
      </c>
      <c r="I12" s="46" t="s">
        <v>32</v>
      </c>
      <c r="J12" s="46">
        <v>2265.8000000000002</v>
      </c>
      <c r="K12" s="48">
        <f>(J12-J11)/J11</f>
        <v>3.9787068055619206E-2</v>
      </c>
      <c r="L12" s="14"/>
      <c r="M12" s="46">
        <v>2023</v>
      </c>
      <c r="N12" s="46" t="s">
        <v>32</v>
      </c>
      <c r="O12" s="46">
        <v>519.70000000000005</v>
      </c>
      <c r="P12" s="48">
        <f t="shared" si="2"/>
        <v>4.5884483799557271E-2</v>
      </c>
      <c r="S12" s="46">
        <v>2023</v>
      </c>
      <c r="T12" s="48">
        <v>6.0227272727272692E-2</v>
      </c>
      <c r="U12" s="49">
        <v>3.9787068055619206E-2</v>
      </c>
      <c r="V12" s="48">
        <v>4.5884483799557271E-2</v>
      </c>
    </row>
    <row r="13" spans="1:22" ht="18.600000000000001" customHeight="1" x14ac:dyDescent="0.3"/>
    <row r="14" spans="1:22" ht="18" customHeight="1" x14ac:dyDescent="0.3"/>
    <row r="15" spans="1:22" ht="16.8" customHeight="1" x14ac:dyDescent="0.3"/>
    <row r="16" spans="1:22" ht="19.2" customHeight="1" x14ac:dyDescent="0.35">
      <c r="A16" s="83" t="s">
        <v>65</v>
      </c>
      <c r="B16" s="83"/>
      <c r="C16" s="83"/>
      <c r="D16" s="83"/>
      <c r="E16" s="83"/>
      <c r="F16" s="83"/>
      <c r="G16" s="83"/>
      <c r="H16" s="83"/>
      <c r="I16" s="83"/>
      <c r="J16" s="83"/>
      <c r="K16" s="83"/>
      <c r="L16" s="83"/>
      <c r="M16" s="83"/>
      <c r="N16" s="83"/>
      <c r="O16" s="83"/>
      <c r="P16" s="83"/>
    </row>
    <row r="18" spans="1:22" ht="15.6" x14ac:dyDescent="0.3">
      <c r="A18" s="45" t="s">
        <v>1</v>
      </c>
      <c r="B18" s="45" t="s">
        <v>2</v>
      </c>
      <c r="C18" s="45" t="s">
        <v>21</v>
      </c>
      <c r="D18" s="46"/>
      <c r="E18" s="46"/>
      <c r="F18" s="45" t="s">
        <v>55</v>
      </c>
      <c r="G18" s="1"/>
      <c r="H18" s="45" t="s">
        <v>1</v>
      </c>
      <c r="I18" s="45" t="s">
        <v>2</v>
      </c>
      <c r="J18" s="45" t="s">
        <v>50</v>
      </c>
      <c r="K18" s="45" t="s">
        <v>55</v>
      </c>
      <c r="M18" s="45" t="s">
        <v>1</v>
      </c>
      <c r="N18" s="45" t="s">
        <v>2</v>
      </c>
      <c r="O18" s="45" t="s">
        <v>59</v>
      </c>
      <c r="P18" s="45" t="s">
        <v>55</v>
      </c>
      <c r="S18" s="87" t="s">
        <v>128</v>
      </c>
      <c r="T18" s="87"/>
      <c r="U18" s="87"/>
      <c r="V18" s="87"/>
    </row>
    <row r="19" spans="1:22" x14ac:dyDescent="0.3">
      <c r="A19" s="46">
        <v>2017</v>
      </c>
      <c r="B19" s="46" t="s">
        <v>32</v>
      </c>
      <c r="C19" s="46">
        <v>123.1</v>
      </c>
      <c r="D19" s="46"/>
      <c r="E19" s="46"/>
      <c r="F19" s="46" t="s">
        <v>124</v>
      </c>
      <c r="H19" s="46">
        <v>2017</v>
      </c>
      <c r="I19" s="46" t="s">
        <v>32</v>
      </c>
      <c r="J19" s="46">
        <v>1705.6999999999998</v>
      </c>
      <c r="K19" s="46" t="s">
        <v>124</v>
      </c>
      <c r="M19" s="46">
        <v>2017</v>
      </c>
      <c r="N19" s="46" t="s">
        <v>32</v>
      </c>
      <c r="O19" s="46">
        <v>360.6</v>
      </c>
      <c r="P19" s="46" t="s">
        <v>124</v>
      </c>
      <c r="S19" s="45" t="s">
        <v>1</v>
      </c>
      <c r="T19" s="50" t="s">
        <v>21</v>
      </c>
      <c r="U19" s="45" t="s">
        <v>50</v>
      </c>
      <c r="V19" s="45" t="s">
        <v>59</v>
      </c>
    </row>
    <row r="20" spans="1:22" x14ac:dyDescent="0.3">
      <c r="A20" s="46">
        <v>2018</v>
      </c>
      <c r="B20" s="46" t="s">
        <v>32</v>
      </c>
      <c r="C20" s="46">
        <v>130.5</v>
      </c>
      <c r="D20" s="46"/>
      <c r="E20" s="46"/>
      <c r="F20" s="48">
        <f t="shared" ref="F20:F25" si="3">(C20-C19)/C19</f>
        <v>6.0113728675873321E-2</v>
      </c>
      <c r="H20" s="46">
        <v>2018</v>
      </c>
      <c r="I20" s="46" t="s">
        <v>32</v>
      </c>
      <c r="J20" s="46">
        <v>1715.5</v>
      </c>
      <c r="K20" s="48">
        <f>(J20-J19)/J19</f>
        <v>5.7454417541186508E-3</v>
      </c>
      <c r="M20" s="46">
        <v>2018</v>
      </c>
      <c r="N20" s="46" t="s">
        <v>32</v>
      </c>
      <c r="O20" s="46">
        <v>371.7</v>
      </c>
      <c r="P20" s="48">
        <f>(O20-O19)/O19</f>
        <v>3.0782029950083098E-2</v>
      </c>
      <c r="S20" s="55">
        <v>2018</v>
      </c>
      <c r="T20" s="56">
        <v>6.0113728675873321E-2</v>
      </c>
      <c r="U20" s="56">
        <v>5.7454417541186508E-3</v>
      </c>
      <c r="V20" s="56">
        <v>3.0782029950083098E-2</v>
      </c>
    </row>
    <row r="21" spans="1:22" x14ac:dyDescent="0.3">
      <c r="A21" s="46">
        <v>2019</v>
      </c>
      <c r="B21" s="46" t="s">
        <v>32</v>
      </c>
      <c r="C21" s="46">
        <v>139.19999999999999</v>
      </c>
      <c r="D21" s="46"/>
      <c r="E21" s="46"/>
      <c r="F21" s="48">
        <f t="shared" si="3"/>
        <v>6.6666666666666582E-2</v>
      </c>
      <c r="H21" s="46">
        <v>2019</v>
      </c>
      <c r="I21" s="46" t="s">
        <v>32</v>
      </c>
      <c r="J21" s="46">
        <v>1768.4</v>
      </c>
      <c r="K21" s="48">
        <f t="shared" ref="K21:K25" si="4">(J21-J20)/J20</f>
        <v>3.0836490819003259E-2</v>
      </c>
      <c r="M21" s="46">
        <v>2019</v>
      </c>
      <c r="N21" s="46" t="s">
        <v>32</v>
      </c>
      <c r="O21" s="46">
        <v>385.70000000000005</v>
      </c>
      <c r="P21" s="48">
        <f t="shared" ref="P21:P25" si="5">(O21-O20)/O20</f>
        <v>3.7664783427495449E-2</v>
      </c>
      <c r="S21" s="46">
        <v>2019</v>
      </c>
      <c r="T21" s="48">
        <v>6.6666666666666582E-2</v>
      </c>
      <c r="U21" s="48">
        <v>3.0836490819003259E-2</v>
      </c>
      <c r="V21" s="48">
        <v>3.7664783427495449E-2</v>
      </c>
    </row>
    <row r="22" spans="1:22" x14ac:dyDescent="0.3">
      <c r="A22" s="46">
        <v>2020</v>
      </c>
      <c r="B22" s="46" t="s">
        <v>32</v>
      </c>
      <c r="C22" s="46">
        <v>145</v>
      </c>
      <c r="D22" s="46"/>
      <c r="E22" s="46"/>
      <c r="F22" s="48">
        <f t="shared" si="3"/>
        <v>4.1666666666666755E-2</v>
      </c>
      <c r="H22" s="46">
        <v>2020</v>
      </c>
      <c r="I22" s="46" t="s">
        <v>32</v>
      </c>
      <c r="J22" s="46">
        <v>1898.5</v>
      </c>
      <c r="K22" s="48">
        <f t="shared" si="4"/>
        <v>7.3569328206288115E-2</v>
      </c>
      <c r="M22" s="46">
        <v>2020</v>
      </c>
      <c r="N22" s="46" t="s">
        <v>32</v>
      </c>
      <c r="O22" s="46">
        <v>401.2</v>
      </c>
      <c r="P22" s="48">
        <f t="shared" si="5"/>
        <v>4.0186673580502832E-2</v>
      </c>
      <c r="S22" s="46">
        <v>2020</v>
      </c>
      <c r="T22" s="48">
        <v>4.1666666666666755E-2</v>
      </c>
      <c r="U22" s="48">
        <v>7.3569328206288115E-2</v>
      </c>
      <c r="V22" s="48">
        <v>4.0186673580502832E-2</v>
      </c>
    </row>
    <row r="23" spans="1:22" x14ac:dyDescent="0.3">
      <c r="A23" s="46">
        <v>2021</v>
      </c>
      <c r="B23" s="46" t="s">
        <v>32</v>
      </c>
      <c r="C23" s="46">
        <v>156.9</v>
      </c>
      <c r="D23" s="46"/>
      <c r="E23" s="46"/>
      <c r="F23" s="48">
        <f t="shared" si="3"/>
        <v>8.2068965517241424E-2</v>
      </c>
      <c r="H23" s="46">
        <v>2021</v>
      </c>
      <c r="I23" s="46" t="s">
        <v>32</v>
      </c>
      <c r="J23" s="46">
        <v>2064.4999999999995</v>
      </c>
      <c r="K23" s="48">
        <f t="shared" si="4"/>
        <v>8.7437450618909424E-2</v>
      </c>
      <c r="M23" s="46">
        <v>2021</v>
      </c>
      <c r="N23" s="46" t="s">
        <v>32</v>
      </c>
      <c r="O23" s="46">
        <v>440.29999999999995</v>
      </c>
      <c r="P23" s="48">
        <f t="shared" si="5"/>
        <v>9.7457627118643989E-2</v>
      </c>
      <c r="S23" s="46">
        <v>2021</v>
      </c>
      <c r="T23" s="48">
        <v>8.2068965517241424E-2</v>
      </c>
      <c r="U23" s="48">
        <v>8.7437450618909424E-2</v>
      </c>
      <c r="V23" s="48">
        <v>9.7457627118643989E-2</v>
      </c>
    </row>
    <row r="24" spans="1:22" x14ac:dyDescent="0.3">
      <c r="A24" s="46">
        <v>2022</v>
      </c>
      <c r="B24" s="46" t="s">
        <v>32</v>
      </c>
      <c r="C24" s="46">
        <v>168.2</v>
      </c>
      <c r="D24" s="46"/>
      <c r="E24" s="46"/>
      <c r="F24" s="48">
        <f t="shared" si="3"/>
        <v>7.2020395156150302E-2</v>
      </c>
      <c r="H24" s="46">
        <v>2022</v>
      </c>
      <c r="I24" s="46" t="s">
        <v>32</v>
      </c>
      <c r="J24" s="46">
        <v>2196.3000000000002</v>
      </c>
      <c r="K24" s="48">
        <f t="shared" si="4"/>
        <v>6.3841123758779691E-2</v>
      </c>
      <c r="M24" s="46">
        <v>2022</v>
      </c>
      <c r="N24" s="46" t="s">
        <v>32</v>
      </c>
      <c r="O24" s="46">
        <v>475.6</v>
      </c>
      <c r="P24" s="48">
        <f t="shared" si="5"/>
        <v>8.0172609584374457E-2</v>
      </c>
      <c r="S24" s="46">
        <v>2022</v>
      </c>
      <c r="T24" s="48">
        <v>7.2020395156150302E-2</v>
      </c>
      <c r="U24" s="48">
        <v>6.3841123758779691E-2</v>
      </c>
      <c r="V24" s="48">
        <v>8.0172609584374457E-2</v>
      </c>
    </row>
    <row r="25" spans="1:22" x14ac:dyDescent="0.3">
      <c r="A25" s="46">
        <v>2023</v>
      </c>
      <c r="B25" s="46" t="s">
        <v>32</v>
      </c>
      <c r="C25" s="46">
        <v>180.8</v>
      </c>
      <c r="D25" s="46"/>
      <c r="E25" s="46"/>
      <c r="F25" s="48">
        <f t="shared" si="3"/>
        <v>7.4910820451843191E-2</v>
      </c>
      <c r="H25" s="46">
        <v>2023</v>
      </c>
      <c r="I25" s="46" t="s">
        <v>32</v>
      </c>
      <c r="J25" s="46">
        <v>2303.4</v>
      </c>
      <c r="K25" s="48">
        <f t="shared" si="4"/>
        <v>4.8763830077858172E-2</v>
      </c>
      <c r="M25" s="46">
        <v>2023</v>
      </c>
      <c r="N25" s="46" t="s">
        <v>32</v>
      </c>
      <c r="O25" s="46">
        <v>498.20000000000005</v>
      </c>
      <c r="P25" s="48">
        <f t="shared" si="5"/>
        <v>4.7518923465096764E-2</v>
      </c>
      <c r="S25" s="46">
        <v>2023</v>
      </c>
      <c r="T25" s="48">
        <v>7.4910820451843191E-2</v>
      </c>
      <c r="U25" s="48">
        <v>4.8763830077858172E-2</v>
      </c>
      <c r="V25" s="48">
        <v>4.7518923465096764E-2</v>
      </c>
    </row>
    <row r="28" spans="1:22" ht="18" x14ac:dyDescent="0.35">
      <c r="A28" s="83" t="s">
        <v>66</v>
      </c>
      <c r="B28" s="83"/>
      <c r="C28" s="83"/>
      <c r="D28" s="83"/>
      <c r="E28" s="83"/>
      <c r="F28" s="83"/>
      <c r="G28" s="83"/>
      <c r="H28" s="83"/>
      <c r="I28" s="83"/>
      <c r="J28" s="83"/>
      <c r="K28" s="83"/>
      <c r="L28" s="83"/>
      <c r="M28" s="83"/>
      <c r="N28" s="83"/>
      <c r="O28" s="83"/>
      <c r="P28" s="83"/>
    </row>
    <row r="30" spans="1:22" ht="15.6" x14ac:dyDescent="0.3">
      <c r="A30" s="45" t="s">
        <v>1</v>
      </c>
      <c r="B30" s="45" t="s">
        <v>2</v>
      </c>
      <c r="C30" s="45" t="s">
        <v>21</v>
      </c>
      <c r="D30" s="46"/>
      <c r="E30" s="46"/>
      <c r="F30" s="45" t="s">
        <v>55</v>
      </c>
      <c r="G30" s="1"/>
      <c r="H30" s="45" t="s">
        <v>1</v>
      </c>
      <c r="I30" s="45" t="s">
        <v>2</v>
      </c>
      <c r="J30" s="45" t="s">
        <v>50</v>
      </c>
      <c r="K30" s="45" t="s">
        <v>55</v>
      </c>
      <c r="M30" s="45" t="s">
        <v>1</v>
      </c>
      <c r="N30" s="45" t="s">
        <v>2</v>
      </c>
      <c r="O30" s="45" t="s">
        <v>59</v>
      </c>
      <c r="P30" s="45" t="s">
        <v>55</v>
      </c>
      <c r="S30" s="81" t="s">
        <v>129</v>
      </c>
      <c r="T30" s="81"/>
      <c r="U30" s="81"/>
      <c r="V30" s="81"/>
    </row>
    <row r="31" spans="1:22" x14ac:dyDescent="0.3">
      <c r="A31" s="46">
        <v>2017</v>
      </c>
      <c r="B31" s="46" t="s">
        <v>32</v>
      </c>
      <c r="C31" s="46">
        <v>127.8</v>
      </c>
      <c r="D31" s="46"/>
      <c r="E31" s="46"/>
      <c r="F31" s="46" t="s">
        <v>124</v>
      </c>
      <c r="H31" s="46">
        <v>2017</v>
      </c>
      <c r="I31" s="46" t="s">
        <v>32</v>
      </c>
      <c r="J31" s="46">
        <v>1718.9</v>
      </c>
      <c r="K31" s="46" t="s">
        <v>124</v>
      </c>
      <c r="M31" s="46">
        <v>2017</v>
      </c>
      <c r="N31" s="46" t="s">
        <v>32</v>
      </c>
      <c r="O31" s="46">
        <v>367.7</v>
      </c>
      <c r="P31" s="46" t="s">
        <v>124</v>
      </c>
      <c r="S31" s="45" t="s">
        <v>1</v>
      </c>
      <c r="T31" s="50" t="s">
        <v>21</v>
      </c>
      <c r="U31" s="45" t="s">
        <v>50</v>
      </c>
      <c r="V31" s="45" t="s">
        <v>59</v>
      </c>
    </row>
    <row r="32" spans="1:22" x14ac:dyDescent="0.3">
      <c r="A32" s="46">
        <v>2018</v>
      </c>
      <c r="B32" s="46" t="s">
        <v>32</v>
      </c>
      <c r="C32" s="46">
        <v>134.30000000000001</v>
      </c>
      <c r="D32" s="46"/>
      <c r="E32" s="46"/>
      <c r="F32" s="48">
        <f t="shared" ref="F32:F37" si="6">(C32-C31)/C31</f>
        <v>5.0860719874804491E-2</v>
      </c>
      <c r="H32" s="46">
        <v>2018</v>
      </c>
      <c r="I32" s="46" t="s">
        <v>32</v>
      </c>
      <c r="J32" s="46">
        <v>1756</v>
      </c>
      <c r="K32" s="48">
        <f>(J32-J31)/J31</f>
        <v>2.1583570888358779E-2</v>
      </c>
      <c r="M32" s="46">
        <v>2018</v>
      </c>
      <c r="N32" s="46" t="s">
        <v>32</v>
      </c>
      <c r="O32" s="46">
        <v>381.70000000000005</v>
      </c>
      <c r="P32" s="48">
        <f>(O32-O31)/O31</f>
        <v>3.8074517269513344E-2</v>
      </c>
      <c r="S32" s="46">
        <v>2018</v>
      </c>
      <c r="T32" s="48">
        <v>5.0860719874804491E-2</v>
      </c>
      <c r="U32" s="48">
        <v>2.1583570888358779E-2</v>
      </c>
      <c r="V32" s="48">
        <v>3.8074517269513344E-2</v>
      </c>
    </row>
    <row r="33" spans="1:22" x14ac:dyDescent="0.3">
      <c r="A33" s="46">
        <v>2019</v>
      </c>
      <c r="B33" s="46" t="s">
        <v>32</v>
      </c>
      <c r="C33" s="46">
        <v>146.19999999999999</v>
      </c>
      <c r="D33" s="46"/>
      <c r="E33" s="46"/>
      <c r="F33" s="48">
        <f t="shared" si="6"/>
        <v>8.8607594936708681E-2</v>
      </c>
      <c r="H33" s="46">
        <v>2019</v>
      </c>
      <c r="I33" s="46" t="s">
        <v>32</v>
      </c>
      <c r="J33" s="46">
        <v>1762.9</v>
      </c>
      <c r="K33" s="48">
        <f t="shared" ref="K33:K37" si="7">(J33-J32)/J32</f>
        <v>3.929384965831487E-3</v>
      </c>
      <c r="M33" s="46">
        <v>2019</v>
      </c>
      <c r="N33" s="46" t="s">
        <v>32</v>
      </c>
      <c r="O33" s="46">
        <v>399.99999999999994</v>
      </c>
      <c r="P33" s="48">
        <f t="shared" ref="P33:P36" si="8">(O33-O32)/O32</f>
        <v>4.7943411055802715E-2</v>
      </c>
      <c r="S33" s="46">
        <v>2019</v>
      </c>
      <c r="T33" s="48">
        <v>8.8607594936708681E-2</v>
      </c>
      <c r="U33" s="48">
        <v>3.929384965831487E-3</v>
      </c>
      <c r="V33" s="48">
        <v>4.7943411055802715E-2</v>
      </c>
    </row>
    <row r="34" spans="1:22" x14ac:dyDescent="0.3">
      <c r="A34" s="46">
        <v>2020</v>
      </c>
      <c r="B34" s="46" t="s">
        <v>32</v>
      </c>
      <c r="C34" s="46">
        <v>152.30000000000001</v>
      </c>
      <c r="D34" s="46"/>
      <c r="E34" s="46"/>
      <c r="F34" s="48">
        <f t="shared" si="6"/>
        <v>4.1723666210670474E-2</v>
      </c>
      <c r="H34" s="46">
        <v>2020</v>
      </c>
      <c r="I34" s="46" t="s">
        <v>32</v>
      </c>
      <c r="J34" s="46">
        <v>1895.4</v>
      </c>
      <c r="K34" s="48">
        <f t="shared" si="7"/>
        <v>7.516024731975722E-2</v>
      </c>
      <c r="M34" s="46">
        <v>2020</v>
      </c>
      <c r="N34" s="46" t="s">
        <v>32</v>
      </c>
      <c r="O34" s="46">
        <v>417.40000000000003</v>
      </c>
      <c r="P34" s="48">
        <f t="shared" si="8"/>
        <v>4.3500000000000233E-2</v>
      </c>
      <c r="S34" s="46">
        <v>2020</v>
      </c>
      <c r="T34" s="48">
        <v>4.1723666210670474E-2</v>
      </c>
      <c r="U34" s="48">
        <v>7.516024731975722E-2</v>
      </c>
      <c r="V34" s="48">
        <v>4.3500000000000233E-2</v>
      </c>
    </row>
    <row r="35" spans="1:22" x14ac:dyDescent="0.3">
      <c r="A35" s="46">
        <v>2021</v>
      </c>
      <c r="B35" s="46" t="s">
        <v>32</v>
      </c>
      <c r="C35" s="46">
        <v>161.69999999999999</v>
      </c>
      <c r="D35" s="46"/>
      <c r="E35" s="46"/>
      <c r="F35" s="48">
        <f t="shared" si="6"/>
        <v>6.1720288903479817E-2</v>
      </c>
      <c r="H35" s="46">
        <v>2021</v>
      </c>
      <c r="I35" s="46" t="s">
        <v>32</v>
      </c>
      <c r="J35" s="46">
        <v>2039.3999999999999</v>
      </c>
      <c r="K35" s="48">
        <f t="shared" si="7"/>
        <v>7.5973409306742512E-2</v>
      </c>
      <c r="M35" s="46">
        <v>2021</v>
      </c>
      <c r="N35" s="46" t="s">
        <v>32</v>
      </c>
      <c r="O35" s="46">
        <v>452.59999999999997</v>
      </c>
      <c r="P35" s="48">
        <f t="shared" si="8"/>
        <v>8.4331576425490967E-2</v>
      </c>
      <c r="S35" s="46">
        <v>2021</v>
      </c>
      <c r="T35" s="48">
        <v>6.1720288903479817E-2</v>
      </c>
      <c r="U35" s="48">
        <v>7.5973409306742512E-2</v>
      </c>
      <c r="V35" s="48">
        <v>8.4331576425490967E-2</v>
      </c>
    </row>
    <row r="36" spans="1:22" x14ac:dyDescent="0.3">
      <c r="A36" s="46">
        <v>2022</v>
      </c>
      <c r="B36" s="46" t="s">
        <v>32</v>
      </c>
      <c r="C36" s="46">
        <v>173</v>
      </c>
      <c r="D36" s="46"/>
      <c r="E36" s="46"/>
      <c r="F36" s="48">
        <f t="shared" si="6"/>
        <v>6.9882498453927105E-2</v>
      </c>
      <c r="H36" s="46">
        <v>2022</v>
      </c>
      <c r="I36" s="46" t="s">
        <v>32</v>
      </c>
      <c r="J36" s="46">
        <v>2184.2000000000003</v>
      </c>
      <c r="K36" s="48">
        <f t="shared" si="7"/>
        <v>7.1001274884770232E-2</v>
      </c>
      <c r="M36" s="46">
        <v>2022</v>
      </c>
      <c r="N36" s="46" t="s">
        <v>32</v>
      </c>
      <c r="O36" s="46">
        <v>485.80000000000007</v>
      </c>
      <c r="P36" s="48">
        <f t="shared" si="8"/>
        <v>7.3353954927088169E-2</v>
      </c>
      <c r="S36" s="46">
        <v>2022</v>
      </c>
      <c r="T36" s="48">
        <v>6.9882498453927105E-2</v>
      </c>
      <c r="U36" s="48">
        <v>7.1001274884770232E-2</v>
      </c>
      <c r="V36" s="48">
        <v>7.3353954927088169E-2</v>
      </c>
    </row>
    <row r="37" spans="1:22" x14ac:dyDescent="0.3">
      <c r="A37" s="46">
        <v>2023</v>
      </c>
      <c r="B37" s="46" t="s">
        <v>32</v>
      </c>
      <c r="C37" s="46">
        <v>184.4</v>
      </c>
      <c r="D37" s="46"/>
      <c r="E37" s="46"/>
      <c r="F37" s="48">
        <f t="shared" si="6"/>
        <v>6.589595375722547E-2</v>
      </c>
      <c r="H37" s="46">
        <v>2023</v>
      </c>
      <c r="I37" s="46" t="s">
        <v>32</v>
      </c>
      <c r="J37" s="46">
        <v>2279.1999999999998</v>
      </c>
      <c r="K37" s="48">
        <f t="shared" si="7"/>
        <v>4.3494185514146841E-2</v>
      </c>
      <c r="M37" s="46">
        <v>2023</v>
      </c>
      <c r="N37" s="46" t="s">
        <v>32</v>
      </c>
      <c r="O37" s="46">
        <v>508.6</v>
      </c>
      <c r="P37" s="48">
        <f>(O37-O36)/O36</f>
        <v>4.6932894195141933E-2</v>
      </c>
      <c r="S37" s="46">
        <v>2023</v>
      </c>
      <c r="T37" s="48">
        <v>6.589595375722547E-2</v>
      </c>
      <c r="U37" s="48">
        <v>4.3494185514146841E-2</v>
      </c>
      <c r="V37" s="48">
        <v>4.6932894195141933E-2</v>
      </c>
    </row>
    <row r="41" spans="1:22" ht="14.4" customHeight="1" x14ac:dyDescent="0.3"/>
    <row r="60" spans="2:2" ht="15.6" x14ac:dyDescent="0.3">
      <c r="B60" s="13" t="s">
        <v>135</v>
      </c>
    </row>
    <row r="61" spans="2:2" ht="15.6" x14ac:dyDescent="0.3">
      <c r="B61" s="13" t="s">
        <v>136</v>
      </c>
    </row>
    <row r="62" spans="2:2" ht="15.6" x14ac:dyDescent="0.3">
      <c r="B62" s="13" t="s">
        <v>137</v>
      </c>
    </row>
  </sheetData>
  <mergeCells count="6">
    <mergeCell ref="S30:V30"/>
    <mergeCell ref="A3:P3"/>
    <mergeCell ref="A16:P16"/>
    <mergeCell ref="A28:P28"/>
    <mergeCell ref="S5:V5"/>
    <mergeCell ref="S18:V18"/>
  </mergeCells>
  <conditionalFormatting sqref="A5:C12 G18">
    <cfRule type="containsText" dxfId="30" priority="28" operator="containsText" text="&quot;blanks&quot;">
      <formula>NOT(ISERROR(SEARCH("""blanks""",A5)))</formula>
    </cfRule>
  </conditionalFormatting>
  <conditionalFormatting sqref="A18:C25">
    <cfRule type="containsText" dxfId="29" priority="25" operator="containsText" text="&quot;blanks&quot;">
      <formula>NOT(ISERROR(SEARCH("""blanks""",A18)))</formula>
    </cfRule>
  </conditionalFormatting>
  <conditionalFormatting sqref="A30:C37">
    <cfRule type="containsText" dxfId="28" priority="22" operator="containsText" text="&quot;blanks&quot;">
      <formula>NOT(ISERROR(SEARCH("""blanks""",A30)))</formula>
    </cfRule>
  </conditionalFormatting>
  <conditionalFormatting sqref="G5">
    <cfRule type="containsText" dxfId="27" priority="20" operator="containsText" text="&quot;blanks&quot;">
      <formula>NOT(ISERROR(SEARCH("""blanks""",G5)))</formula>
    </cfRule>
  </conditionalFormatting>
  <conditionalFormatting sqref="G30">
    <cfRule type="containsText" dxfId="26" priority="18" operator="containsText" text="&quot;blanks&quot;">
      <formula>NOT(ISERROR(SEARCH("""blanks""",G30)))</formula>
    </cfRule>
  </conditionalFormatting>
  <conditionalFormatting sqref="H18:I25">
    <cfRule type="containsText" dxfId="25" priority="9" operator="containsText" text="&quot;blanks&quot;">
      <formula>NOT(ISERROR(SEARCH("""blanks""",H18)))</formula>
    </cfRule>
  </conditionalFormatting>
  <conditionalFormatting sqref="H30:I37">
    <cfRule type="containsText" dxfId="24" priority="8" operator="containsText" text="&quot;blanks&quot;">
      <formula>NOT(ISERROR(SEARCH("""blanks""",H30)))</formula>
    </cfRule>
  </conditionalFormatting>
  <conditionalFormatting sqref="H5:J12">
    <cfRule type="containsText" dxfId="23" priority="15" operator="containsText" text="&quot;blanks&quot;">
      <formula>NOT(ISERROR(SEARCH("""blanks""",H5)))</formula>
    </cfRule>
  </conditionalFormatting>
  <conditionalFormatting sqref="J18">
    <cfRule type="containsText" dxfId="22" priority="13" operator="containsText" text="&quot;blanks&quot;">
      <formula>NOT(ISERROR(SEARCH("""blanks""",J18)))</formula>
    </cfRule>
  </conditionalFormatting>
  <conditionalFormatting sqref="J30">
    <cfRule type="containsText" dxfId="21" priority="11" operator="containsText" text="&quot;blanks&quot;">
      <formula>NOT(ISERROR(SEARCH("""blanks""",J30)))</formula>
    </cfRule>
  </conditionalFormatting>
  <conditionalFormatting sqref="J5:K5">
    <cfRule type="containsText" dxfId="20" priority="17" operator="containsText" text="&quot;blanks&quot;">
      <formula>NOT(ISERROR(SEARCH("""blanks""",J5)))</formula>
    </cfRule>
  </conditionalFormatting>
  <conditionalFormatting sqref="M5:N12">
    <cfRule type="containsText" dxfId="19" priority="14" operator="containsText" text="&quot;blanks&quot;">
      <formula>NOT(ISERROR(SEARCH("""blanks""",M5)))</formula>
    </cfRule>
  </conditionalFormatting>
  <conditionalFormatting sqref="M18:N25">
    <cfRule type="containsText" dxfId="18" priority="7" operator="containsText" text="&quot;blanks&quot;">
      <formula>NOT(ISERROR(SEARCH("""blanks""",M18)))</formula>
    </cfRule>
  </conditionalFormatting>
  <conditionalFormatting sqref="M30:N37">
    <cfRule type="containsText" dxfId="17" priority="6" operator="containsText" text="&quot;blanks&quot;">
      <formula>NOT(ISERROR(SEARCH("""blanks""",M30)))</formula>
    </cfRule>
  </conditionalFormatting>
  <conditionalFormatting sqref="O5">
    <cfRule type="containsText" dxfId="16" priority="16" operator="containsText" text="&quot;blanks&quot;">
      <formula>NOT(ISERROR(SEARCH("""blanks""",O5)))</formula>
    </cfRule>
  </conditionalFormatting>
  <conditionalFormatting sqref="O18">
    <cfRule type="containsText" dxfId="15" priority="12" operator="containsText" text="&quot;blanks&quot;">
      <formula>NOT(ISERROR(SEARCH("""blanks""",O18)))</formula>
    </cfRule>
  </conditionalFormatting>
  <conditionalFormatting sqref="O30">
    <cfRule type="containsText" dxfId="14" priority="10" operator="containsText" text="&quot;blanks&quot;">
      <formula>NOT(ISERROR(SEARCH("""blanks""",O30)))</formula>
    </cfRule>
  </conditionalFormatting>
  <conditionalFormatting sqref="S6:S12">
    <cfRule type="containsText" dxfId="13" priority="5" operator="containsText" text="&quot;blanks&quot;">
      <formula>NOT(ISERROR(SEARCH("""blanks""",S6)))</formula>
    </cfRule>
  </conditionalFormatting>
  <conditionalFormatting sqref="S19:S25">
    <cfRule type="containsText" dxfId="12" priority="3" operator="containsText" text="&quot;blanks&quot;">
      <formula>NOT(ISERROR(SEARCH("""blanks""",S19)))</formula>
    </cfRule>
  </conditionalFormatting>
  <conditionalFormatting sqref="S31:S37">
    <cfRule type="containsText" dxfId="11" priority="1" operator="containsText" text="&quot;blanks&quot;">
      <formula>NOT(ISERROR(SEARCH("""blanks""",S31)))</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7444-C0F2-46F1-BFD8-04F18C725163}">
  <dimension ref="A1:R44"/>
  <sheetViews>
    <sheetView zoomScale="78" zoomScaleNormal="78" workbookViewId="0">
      <selection activeCell="Q25" sqref="Q25"/>
    </sheetView>
  </sheetViews>
  <sheetFormatPr defaultRowHeight="14.4" x14ac:dyDescent="0.3"/>
  <sheetData>
    <row r="1" spans="1:17" ht="15.6" x14ac:dyDescent="0.3">
      <c r="A1" s="25"/>
      <c r="B1" s="26"/>
      <c r="C1" s="26"/>
      <c r="D1" s="26"/>
      <c r="E1" s="26"/>
      <c r="F1" s="26"/>
      <c r="G1" s="26"/>
      <c r="H1" s="26"/>
      <c r="I1" s="26"/>
      <c r="J1" s="26"/>
      <c r="K1" s="26"/>
      <c r="L1" s="26"/>
      <c r="M1" s="26"/>
      <c r="N1" s="26"/>
      <c r="O1" s="26"/>
      <c r="P1" s="26"/>
      <c r="Q1" s="26"/>
    </row>
    <row r="2" spans="1:17" ht="20.399999999999999" x14ac:dyDescent="0.3">
      <c r="A2" s="88" t="s">
        <v>69</v>
      </c>
      <c r="B2" s="88"/>
      <c r="C2" s="88"/>
      <c r="D2" s="88"/>
      <c r="E2" s="88"/>
      <c r="F2" s="88"/>
      <c r="G2" s="88"/>
      <c r="H2" s="88"/>
      <c r="I2" s="88"/>
      <c r="J2" s="88"/>
      <c r="K2" s="88"/>
      <c r="L2" s="88"/>
      <c r="M2" s="88"/>
      <c r="N2" s="88"/>
      <c r="O2" s="88"/>
      <c r="P2" s="26"/>
      <c r="Q2" s="26"/>
    </row>
    <row r="3" spans="1:17" ht="15.6" x14ac:dyDescent="0.3">
      <c r="A3" s="25"/>
      <c r="B3" s="26"/>
      <c r="C3" s="26"/>
      <c r="D3" s="26"/>
      <c r="E3" s="26"/>
      <c r="F3" s="26"/>
      <c r="G3" s="26"/>
      <c r="H3" s="26"/>
      <c r="I3" s="26"/>
      <c r="J3" s="26"/>
      <c r="K3" s="26"/>
      <c r="L3" s="26"/>
      <c r="M3" s="26"/>
      <c r="N3" s="26"/>
      <c r="O3" s="26"/>
      <c r="P3" s="26"/>
      <c r="Q3" s="26"/>
    </row>
    <row r="4" spans="1:17" ht="15.6" x14ac:dyDescent="0.3">
      <c r="A4" s="25"/>
      <c r="B4" s="26"/>
      <c r="C4" s="26"/>
      <c r="D4" s="26"/>
      <c r="E4" s="26"/>
      <c r="F4" s="26"/>
      <c r="G4" s="26"/>
      <c r="H4" s="26"/>
      <c r="I4" s="26"/>
      <c r="J4" s="26"/>
      <c r="K4" s="26"/>
      <c r="L4" s="26"/>
      <c r="M4" s="26"/>
      <c r="N4" s="26"/>
      <c r="O4" s="26"/>
      <c r="P4" s="26"/>
      <c r="Q4" s="26"/>
    </row>
    <row r="5" spans="1:17" ht="15.6" x14ac:dyDescent="0.3">
      <c r="A5" s="25"/>
      <c r="B5" s="26"/>
      <c r="C5" s="26"/>
      <c r="D5" s="26"/>
      <c r="E5" s="26"/>
      <c r="F5" s="26"/>
      <c r="G5" s="26"/>
      <c r="H5" s="26"/>
      <c r="I5" s="26"/>
      <c r="J5" s="26"/>
      <c r="K5" s="26"/>
      <c r="L5" s="26"/>
      <c r="M5" s="26"/>
      <c r="N5" s="26"/>
      <c r="O5" s="26"/>
      <c r="P5" s="26"/>
      <c r="Q5" s="26"/>
    </row>
    <row r="6" spans="1:17" ht="15.6" x14ac:dyDescent="0.3">
      <c r="A6" s="25"/>
      <c r="B6" s="26"/>
      <c r="C6" s="26"/>
      <c r="D6" s="26"/>
      <c r="E6" s="26"/>
      <c r="F6" s="26"/>
      <c r="G6" s="26"/>
      <c r="H6" s="26"/>
      <c r="I6" s="26"/>
      <c r="J6" s="26"/>
      <c r="K6" s="26"/>
      <c r="L6" s="26"/>
      <c r="M6" s="26"/>
      <c r="N6" s="26"/>
      <c r="O6" s="26"/>
      <c r="P6" s="26"/>
      <c r="Q6" s="26"/>
    </row>
    <row r="7" spans="1:17" ht="15.6" x14ac:dyDescent="0.3">
      <c r="A7" s="25"/>
      <c r="B7" s="26"/>
      <c r="C7" s="26"/>
      <c r="D7" s="26"/>
      <c r="E7" s="26"/>
      <c r="F7" s="26"/>
      <c r="G7" s="26"/>
      <c r="H7" s="26"/>
      <c r="I7" s="26"/>
      <c r="J7" s="26"/>
      <c r="K7" s="26"/>
      <c r="L7" s="26"/>
      <c r="M7" s="26"/>
      <c r="N7" s="26"/>
      <c r="O7" s="26"/>
      <c r="P7" s="26"/>
      <c r="Q7" s="26"/>
    </row>
    <row r="8" spans="1:17" ht="17.399999999999999" x14ac:dyDescent="0.3">
      <c r="A8" s="89" t="s">
        <v>70</v>
      </c>
      <c r="B8" s="89"/>
      <c r="C8" s="89"/>
      <c r="D8" s="89"/>
      <c r="E8" s="89"/>
      <c r="F8" s="89"/>
      <c r="G8" s="89"/>
      <c r="H8" s="89"/>
      <c r="I8" s="89"/>
      <c r="J8" s="89"/>
      <c r="K8" s="89"/>
      <c r="L8" s="89"/>
      <c r="M8" s="89"/>
      <c r="N8" s="89"/>
      <c r="O8" s="89"/>
      <c r="P8" s="26"/>
      <c r="Q8" s="26"/>
    </row>
    <row r="9" spans="1:17" ht="15.6" x14ac:dyDescent="0.3">
      <c r="A9" s="25"/>
      <c r="B9" s="26"/>
      <c r="C9" s="26"/>
      <c r="D9" s="26"/>
      <c r="E9" s="26"/>
      <c r="F9" s="26"/>
      <c r="G9" s="26"/>
      <c r="H9" s="26"/>
      <c r="I9" s="26"/>
      <c r="J9" s="26"/>
      <c r="K9" s="26"/>
      <c r="L9" s="26"/>
      <c r="M9" s="26"/>
      <c r="N9" s="26"/>
      <c r="O9" s="26"/>
      <c r="P9" s="26"/>
      <c r="Q9" s="26"/>
    </row>
    <row r="10" spans="1:17" ht="15.6" x14ac:dyDescent="0.3">
      <c r="A10" s="25" t="s">
        <v>71</v>
      </c>
      <c r="B10" s="26"/>
      <c r="C10" s="26"/>
      <c r="D10" s="26"/>
      <c r="E10" s="26"/>
      <c r="F10" s="26"/>
      <c r="G10" s="26"/>
      <c r="H10" s="26"/>
      <c r="I10" s="26"/>
      <c r="J10" s="26"/>
      <c r="K10" s="26"/>
      <c r="L10" s="26"/>
      <c r="M10" s="26"/>
      <c r="N10" s="26"/>
      <c r="O10" s="26"/>
      <c r="P10" s="26"/>
      <c r="Q10" s="26"/>
    </row>
    <row r="11" spans="1:17" ht="15.6" x14ac:dyDescent="0.3">
      <c r="A11" s="25" t="s">
        <v>72</v>
      </c>
      <c r="B11" s="26"/>
      <c r="C11" s="26"/>
      <c r="D11" s="26"/>
      <c r="E11" s="26"/>
      <c r="F11" s="26"/>
      <c r="G11" s="26"/>
      <c r="H11" s="26"/>
      <c r="I11" s="26"/>
      <c r="J11" s="26"/>
      <c r="K11" s="26"/>
      <c r="L11" s="26"/>
      <c r="M11" s="26"/>
      <c r="N11" s="26"/>
      <c r="O11" s="26"/>
      <c r="P11" s="26"/>
      <c r="Q11" s="26"/>
    </row>
    <row r="12" spans="1:17" ht="15.6" x14ac:dyDescent="0.3">
      <c r="A12" s="26"/>
      <c r="B12" s="27"/>
      <c r="C12" s="27"/>
      <c r="D12" s="27"/>
      <c r="E12" s="27"/>
      <c r="F12" s="27"/>
      <c r="G12" s="27"/>
      <c r="H12" s="27"/>
      <c r="I12" s="27"/>
      <c r="J12" s="27"/>
      <c r="K12" s="27"/>
      <c r="L12" s="28"/>
      <c r="M12" s="28"/>
      <c r="N12" s="25"/>
      <c r="O12" s="29" t="s">
        <v>73</v>
      </c>
      <c r="P12" s="26"/>
      <c r="Q12" s="26"/>
    </row>
    <row r="13" spans="1:17" ht="15.6" x14ac:dyDescent="0.3">
      <c r="A13" s="30" t="s">
        <v>1</v>
      </c>
      <c r="B13" s="31">
        <v>33329</v>
      </c>
      <c r="C13" s="31">
        <v>33359</v>
      </c>
      <c r="D13" s="31">
        <v>33390</v>
      </c>
      <c r="E13" s="31">
        <v>33420</v>
      </c>
      <c r="F13" s="31">
        <v>33451</v>
      </c>
      <c r="G13" s="31">
        <v>33482</v>
      </c>
      <c r="H13" s="31">
        <v>33512</v>
      </c>
      <c r="I13" s="31">
        <v>33543</v>
      </c>
      <c r="J13" s="31">
        <v>33573</v>
      </c>
      <c r="K13" s="31">
        <v>33604</v>
      </c>
      <c r="L13" s="31">
        <v>33635</v>
      </c>
      <c r="M13" s="31">
        <v>33664</v>
      </c>
      <c r="N13" s="31" t="s">
        <v>74</v>
      </c>
      <c r="O13" s="31" t="s">
        <v>75</v>
      </c>
      <c r="P13" s="26"/>
      <c r="Q13" s="26"/>
    </row>
    <row r="14" spans="1:17" ht="15.6" x14ac:dyDescent="0.3">
      <c r="A14" s="32" t="s">
        <v>76</v>
      </c>
      <c r="B14" s="24">
        <v>22.51</v>
      </c>
      <c r="C14" s="24">
        <v>26.6</v>
      </c>
      <c r="D14" s="24">
        <v>28.49</v>
      </c>
      <c r="E14" s="24">
        <v>27.26</v>
      </c>
      <c r="F14" s="24">
        <v>28.328848863636367</v>
      </c>
      <c r="G14" s="24">
        <v>31.34</v>
      </c>
      <c r="H14" s="24">
        <v>30.5</v>
      </c>
      <c r="I14" s="24">
        <v>30.926621590909097</v>
      </c>
      <c r="J14" s="24">
        <v>23.25</v>
      </c>
      <c r="K14" s="24">
        <v>24.02</v>
      </c>
      <c r="L14" s="24">
        <v>25.92</v>
      </c>
      <c r="M14" s="24">
        <v>23.82</v>
      </c>
      <c r="N14" s="33">
        <v>26.9241666666667</v>
      </c>
      <c r="O14" s="34" t="s">
        <v>77</v>
      </c>
      <c r="P14" s="35"/>
      <c r="Q14" s="35"/>
    </row>
    <row r="15" spans="1:17" ht="15.6" x14ac:dyDescent="0.3">
      <c r="A15" s="36" t="s">
        <v>78</v>
      </c>
      <c r="B15" s="24">
        <v>24.82</v>
      </c>
      <c r="C15" s="24">
        <v>26.95</v>
      </c>
      <c r="D15" s="24">
        <v>26.63</v>
      </c>
      <c r="E15" s="24">
        <v>23.99</v>
      </c>
      <c r="F15" s="24">
        <v>25.01</v>
      </c>
      <c r="G15" s="24">
        <v>24.79</v>
      </c>
      <c r="H15" s="24">
        <v>20.05</v>
      </c>
      <c r="I15" s="24">
        <v>18.239999999999998</v>
      </c>
      <c r="J15" s="24">
        <v>18.239999999999998</v>
      </c>
      <c r="K15" s="24">
        <v>18.920000000000002</v>
      </c>
      <c r="L15" s="24">
        <v>19.529986842105259</v>
      </c>
      <c r="M15" s="24">
        <v>23.31</v>
      </c>
      <c r="N15" s="33">
        <v>22.551701476377943</v>
      </c>
      <c r="O15" s="34" t="s">
        <v>77</v>
      </c>
      <c r="P15" s="37"/>
      <c r="Q15" s="35"/>
    </row>
    <row r="16" spans="1:17" ht="15.6" x14ac:dyDescent="0.3">
      <c r="A16" s="32" t="s">
        <v>79</v>
      </c>
      <c r="B16" s="24">
        <v>25.029405681818183</v>
      </c>
      <c r="C16" s="24">
        <v>24.994865217391304</v>
      </c>
      <c r="D16" s="24">
        <v>24.051813749999997</v>
      </c>
      <c r="E16" s="24">
        <v>25.183221739130431</v>
      </c>
      <c r="F16" s="24">
        <v>25.855818181818179</v>
      </c>
      <c r="G16" s="24">
        <v>27.495242857142859</v>
      </c>
      <c r="H16" s="24">
        <v>26.902101086956524</v>
      </c>
      <c r="I16" s="24">
        <v>23.682511904761906</v>
      </c>
      <c r="J16" s="24">
        <v>27.110101190476186</v>
      </c>
      <c r="K16" s="24">
        <v>29.592549999999996</v>
      </c>
      <c r="L16" s="24">
        <v>31.308380555555548</v>
      </c>
      <c r="M16" s="24">
        <v>28.825039285714286</v>
      </c>
      <c r="N16" s="33">
        <v>26.6</v>
      </c>
      <c r="O16" s="34" t="s">
        <v>77</v>
      </c>
      <c r="P16" s="37"/>
      <c r="Q16" s="35"/>
    </row>
    <row r="17" spans="1:18" ht="15.6" x14ac:dyDescent="0.3">
      <c r="A17" s="36" t="s">
        <v>80</v>
      </c>
      <c r="B17" s="24">
        <v>24.214591666666667</v>
      </c>
      <c r="C17" s="24">
        <v>24.98887894736842</v>
      </c>
      <c r="D17" s="24">
        <v>26.425924999999999</v>
      </c>
      <c r="E17" s="24">
        <v>27.458449999999999</v>
      </c>
      <c r="F17" s="24">
        <v>28.663598809523808</v>
      </c>
      <c r="G17" s="24">
        <v>26.265218181818184</v>
      </c>
      <c r="H17" s="24">
        <v>28.449944318181817</v>
      </c>
      <c r="I17" s="24">
        <v>28.226284210526316</v>
      </c>
      <c r="J17" s="24">
        <v>28.966610714285707</v>
      </c>
      <c r="K17" s="24">
        <v>29.999534210526313</v>
      </c>
      <c r="L17" s="24">
        <v>29.647267105263154</v>
      </c>
      <c r="M17" s="24">
        <v>32.210322826086951</v>
      </c>
      <c r="N17" s="33">
        <v>27.98</v>
      </c>
      <c r="O17" s="34" t="s">
        <v>77</v>
      </c>
      <c r="P17" s="37"/>
      <c r="Q17" s="35"/>
      <c r="R17" s="76"/>
    </row>
    <row r="18" spans="1:18" ht="15.6" x14ac:dyDescent="0.3">
      <c r="A18" s="32" t="s">
        <v>81</v>
      </c>
      <c r="B18" s="24">
        <v>32.365204761904764</v>
      </c>
      <c r="C18" s="24">
        <v>36.078851249999992</v>
      </c>
      <c r="D18" s="24">
        <v>34.159547619047622</v>
      </c>
      <c r="E18" s="24">
        <v>36.353381818181809</v>
      </c>
      <c r="F18" s="24">
        <v>40.517199999999995</v>
      </c>
      <c r="G18" s="24">
        <v>39.149477272727275</v>
      </c>
      <c r="H18" s="24">
        <v>43.375466666666675</v>
      </c>
      <c r="I18" s="24">
        <v>38.898870000000002</v>
      </c>
      <c r="J18" s="24">
        <v>36.816215476190465</v>
      </c>
      <c r="K18" s="24">
        <v>40.96200249999999</v>
      </c>
      <c r="L18" s="24">
        <v>42.670598611111117</v>
      </c>
      <c r="M18" s="24">
        <v>49.27002045454546</v>
      </c>
      <c r="N18" s="33">
        <v>39.205833333333331</v>
      </c>
      <c r="O18" s="34" t="s">
        <v>77</v>
      </c>
      <c r="P18" s="37"/>
      <c r="Q18" s="35"/>
    </row>
    <row r="19" spans="1:18" ht="15.6" x14ac:dyDescent="0.3">
      <c r="A19" s="36" t="s">
        <v>82</v>
      </c>
      <c r="B19" s="24">
        <v>49.427602380952379</v>
      </c>
      <c r="C19" s="24">
        <v>46.995223684210522</v>
      </c>
      <c r="D19" s="24">
        <v>52.720745454545458</v>
      </c>
      <c r="E19" s="24">
        <v>55.008083333333325</v>
      </c>
      <c r="F19" s="24">
        <v>60.048336363636373</v>
      </c>
      <c r="G19" s="24">
        <v>59.739213636363637</v>
      </c>
      <c r="H19" s="24">
        <v>56.279061904761896</v>
      </c>
      <c r="I19" s="24">
        <v>53.143807500000001</v>
      </c>
      <c r="J19" s="24">
        <v>55.045628571428587</v>
      </c>
      <c r="K19" s="24">
        <v>60.54291666666667</v>
      </c>
      <c r="L19" s="24">
        <v>58.953329999999994</v>
      </c>
      <c r="M19" s="24">
        <v>60.011573913043478</v>
      </c>
      <c r="N19" s="33">
        <v>55.720000000000006</v>
      </c>
      <c r="O19" s="34" t="s">
        <v>83</v>
      </c>
      <c r="P19" s="37"/>
      <c r="Q19" s="35"/>
    </row>
    <row r="20" spans="1:18" ht="15.6" x14ac:dyDescent="0.3">
      <c r="A20" s="32" t="s">
        <v>84</v>
      </c>
      <c r="B20" s="24">
        <v>67.055031315789464</v>
      </c>
      <c r="C20" s="24">
        <v>67.22359075</v>
      </c>
      <c r="D20" s="24">
        <v>66.897534999999976</v>
      </c>
      <c r="E20" s="24">
        <v>71.285795238095261</v>
      </c>
      <c r="F20" s="24">
        <v>70.775921818181828</v>
      </c>
      <c r="G20" s="24">
        <v>60.933454285714276</v>
      </c>
      <c r="H20" s="24">
        <v>57.270684761904761</v>
      </c>
      <c r="I20" s="24">
        <v>57.793637500000003</v>
      </c>
      <c r="J20" s="24">
        <v>60.34467149999999</v>
      </c>
      <c r="K20" s="24">
        <v>52.529441428571438</v>
      </c>
      <c r="L20" s="24">
        <v>56.531044722222227</v>
      </c>
      <c r="M20" s="24">
        <v>60.262107954545442</v>
      </c>
      <c r="N20" s="33">
        <v>62.46</v>
      </c>
      <c r="O20" s="34" t="s">
        <v>85</v>
      </c>
      <c r="P20" s="37"/>
      <c r="Q20" s="35"/>
    </row>
    <row r="21" spans="1:18" ht="15.6" x14ac:dyDescent="0.3">
      <c r="A21" s="36" t="s">
        <v>86</v>
      </c>
      <c r="B21" s="24">
        <v>65.481951250000009</v>
      </c>
      <c r="C21" s="24">
        <v>65.695437249999983</v>
      </c>
      <c r="D21" s="24">
        <v>68.099250714285716</v>
      </c>
      <c r="E21" s="24">
        <v>72.575061818181794</v>
      </c>
      <c r="F21" s="24">
        <v>68.982336590909085</v>
      </c>
      <c r="G21" s="24">
        <v>74.776604250000005</v>
      </c>
      <c r="H21" s="24">
        <v>79.327164347826084</v>
      </c>
      <c r="I21" s="24">
        <v>89.107013571428567</v>
      </c>
      <c r="J21" s="24">
        <v>87.921265000000034</v>
      </c>
      <c r="K21" s="24">
        <v>89.517554090909101</v>
      </c>
      <c r="L21" s="24">
        <v>92.374237368421049</v>
      </c>
      <c r="M21" s="24">
        <v>99.759819499999978</v>
      </c>
      <c r="N21" s="33">
        <v>79.249166666666667</v>
      </c>
      <c r="O21" s="34" t="s">
        <v>87</v>
      </c>
      <c r="P21" s="37"/>
      <c r="Q21" s="35"/>
    </row>
    <row r="22" spans="1:18" ht="15.6" x14ac:dyDescent="0.3">
      <c r="A22" s="32" t="s">
        <v>88</v>
      </c>
      <c r="B22" s="24">
        <v>105.72015318181816</v>
      </c>
      <c r="C22" s="24">
        <v>120.90896144736843</v>
      </c>
      <c r="D22" s="24">
        <v>129.71535511904762</v>
      </c>
      <c r="E22" s="24">
        <v>132.47124826086957</v>
      </c>
      <c r="F22" s="24">
        <v>113.05438523809524</v>
      </c>
      <c r="G22" s="24">
        <v>96.812891590909103</v>
      </c>
      <c r="H22" s="24">
        <v>69.121526666666668</v>
      </c>
      <c r="I22" s="24">
        <v>50.907636000000011</v>
      </c>
      <c r="J22" s="24">
        <v>40.61143324999999</v>
      </c>
      <c r="K22" s="24">
        <v>43.986057631578959</v>
      </c>
      <c r="L22" s="24">
        <v>43.217028000000006</v>
      </c>
      <c r="M22" s="24">
        <v>46.021762045454544</v>
      </c>
      <c r="N22" s="33">
        <v>83.566666666666663</v>
      </c>
      <c r="O22" s="34" t="s">
        <v>89</v>
      </c>
      <c r="P22" s="37"/>
      <c r="Q22" s="35"/>
    </row>
    <row r="23" spans="1:18" ht="15.6" x14ac:dyDescent="0.3">
      <c r="A23" s="36" t="s">
        <v>90</v>
      </c>
      <c r="B23" s="24">
        <v>50.135601875000006</v>
      </c>
      <c r="C23" s="24">
        <v>58.003360416666673</v>
      </c>
      <c r="D23" s="24">
        <v>69.115276136363633</v>
      </c>
      <c r="E23" s="24">
        <v>64.82460978260869</v>
      </c>
      <c r="F23" s="24">
        <v>71.979192105263166</v>
      </c>
      <c r="G23" s="24">
        <v>67.701650000000001</v>
      </c>
      <c r="H23" s="24">
        <v>73.064288636363642</v>
      </c>
      <c r="I23" s="24">
        <v>77.390866249999959</v>
      </c>
      <c r="J23" s="24">
        <v>75.01622261904761</v>
      </c>
      <c r="K23" s="24">
        <v>76.608826250000021</v>
      </c>
      <c r="L23" s="24">
        <v>73.694277777777771</v>
      </c>
      <c r="M23" s="24">
        <v>78.018300000000025</v>
      </c>
      <c r="N23" s="33">
        <v>69.762270040485845</v>
      </c>
      <c r="O23" s="34" t="s">
        <v>91</v>
      </c>
      <c r="P23" s="37"/>
      <c r="Q23" s="35"/>
    </row>
    <row r="24" spans="1:18" ht="15.6" x14ac:dyDescent="0.3">
      <c r="A24" s="36" t="s">
        <v>92</v>
      </c>
      <c r="B24" s="24">
        <v>84.08172900000001</v>
      </c>
      <c r="C24" s="24">
        <v>76.161427777777774</v>
      </c>
      <c r="D24" s="24">
        <v>74.331090000000003</v>
      </c>
      <c r="E24" s="24">
        <v>73.543052272727266</v>
      </c>
      <c r="F24" s="24">
        <v>75.126988999999995</v>
      </c>
      <c r="G24" s="24">
        <v>76.092999999999989</v>
      </c>
      <c r="H24" s="24">
        <v>81.109814285714293</v>
      </c>
      <c r="I24" s="24">
        <v>84.255698500000008</v>
      </c>
      <c r="J24" s="24">
        <v>89.772982380952385</v>
      </c>
      <c r="K24" s="24">
        <v>93.868447999999987</v>
      </c>
      <c r="L24" s="24">
        <v>101.62099944444444</v>
      </c>
      <c r="M24" s="24">
        <v>110.71446956521741</v>
      </c>
      <c r="N24" s="33">
        <v>85.09</v>
      </c>
      <c r="O24" s="34" t="s">
        <v>93</v>
      </c>
      <c r="P24" s="37"/>
      <c r="Q24" s="35"/>
    </row>
    <row r="25" spans="1:18" ht="15.6" x14ac:dyDescent="0.3">
      <c r="A25" s="36" t="s">
        <v>94</v>
      </c>
      <c r="B25" s="24">
        <v>118.63579277777778</v>
      </c>
      <c r="C25" s="24">
        <v>110.80254368421052</v>
      </c>
      <c r="D25" s="24">
        <v>109.99406772727275</v>
      </c>
      <c r="E25" s="24">
        <v>112.52711428571428</v>
      </c>
      <c r="F25" s="24">
        <v>106.93536000000002</v>
      </c>
      <c r="G25" s="24">
        <v>108.79064681818183</v>
      </c>
      <c r="H25" s="24">
        <v>106.10836949999998</v>
      </c>
      <c r="I25" s="24">
        <v>109.61574428571427</v>
      </c>
      <c r="J25" s="24">
        <v>107.19388799999999</v>
      </c>
      <c r="K25" s="24">
        <v>110.46828473684211</v>
      </c>
      <c r="L25" s="24">
        <v>117.66619714285711</v>
      </c>
      <c r="M25" s="24">
        <v>123.61055818181818</v>
      </c>
      <c r="N25" s="33">
        <v>111.89</v>
      </c>
      <c r="O25" s="34" t="s">
        <v>95</v>
      </c>
      <c r="P25" s="37"/>
      <c r="Q25" s="37"/>
    </row>
    <row r="26" spans="1:18" ht="15.6" x14ac:dyDescent="0.3">
      <c r="A26" s="36" t="s">
        <v>96</v>
      </c>
      <c r="B26" s="24">
        <v>117.97451263157893</v>
      </c>
      <c r="C26" s="24">
        <v>108.05380666666667</v>
      </c>
      <c r="D26" s="24">
        <v>94.507602631578962</v>
      </c>
      <c r="E26" s="24">
        <v>100.33814000000001</v>
      </c>
      <c r="F26" s="24">
        <v>110.06828299999999</v>
      </c>
      <c r="G26" s="24">
        <v>111.77087950000001</v>
      </c>
      <c r="H26" s="24">
        <v>109.78858409090908</v>
      </c>
      <c r="I26" s="24">
        <v>107.87074714285717</v>
      </c>
      <c r="J26" s="24">
        <v>107.28096684210526</v>
      </c>
      <c r="K26" s="24">
        <v>109.55123681818182</v>
      </c>
      <c r="L26" s="24">
        <v>112.67557388888889</v>
      </c>
      <c r="M26" s="24">
        <v>106.44967000000001</v>
      </c>
      <c r="N26" s="33">
        <v>107.97</v>
      </c>
      <c r="O26" s="34" t="s">
        <v>97</v>
      </c>
      <c r="P26" s="37"/>
      <c r="Q26" s="35"/>
    </row>
    <row r="27" spans="1:18" ht="15.6" x14ac:dyDescent="0.3">
      <c r="A27" s="32" t="s">
        <v>98</v>
      </c>
      <c r="B27" s="24">
        <v>101.57480404761903</v>
      </c>
      <c r="C27" s="24">
        <v>101.09704973684211</v>
      </c>
      <c r="D27" s="24">
        <v>101.11112850000002</v>
      </c>
      <c r="E27" s="24">
        <v>104.85975108695654</v>
      </c>
      <c r="F27" s="24">
        <v>108.45469894736839</v>
      </c>
      <c r="G27" s="24">
        <v>109.46571142857142</v>
      </c>
      <c r="H27" s="24">
        <v>107.37352068181818</v>
      </c>
      <c r="I27" s="24">
        <v>106.55480452380951</v>
      </c>
      <c r="J27" s="24">
        <v>108.71841975000002</v>
      </c>
      <c r="K27" s="24">
        <v>105.29499857142855</v>
      </c>
      <c r="L27" s="24">
        <v>106.18825474999998</v>
      </c>
      <c r="M27" s="24">
        <v>105.29528785714285</v>
      </c>
      <c r="N27" s="33">
        <v>105.52</v>
      </c>
      <c r="O27" s="34" t="s">
        <v>99</v>
      </c>
      <c r="P27" s="26"/>
      <c r="Q27" s="26"/>
    </row>
    <row r="28" spans="1:18" ht="15.6" x14ac:dyDescent="0.3">
      <c r="A28" s="32" t="s">
        <v>100</v>
      </c>
      <c r="B28" s="24">
        <v>105.55533930000001</v>
      </c>
      <c r="C28" s="24">
        <v>106.85322644444446</v>
      </c>
      <c r="D28" s="24">
        <v>109.0539181904762</v>
      </c>
      <c r="E28" s="24">
        <v>106.2961561818182</v>
      </c>
      <c r="F28" s="24">
        <v>101.89198810000001</v>
      </c>
      <c r="G28" s="24">
        <v>96.959094045454563</v>
      </c>
      <c r="H28" s="24">
        <v>86.827638380952408</v>
      </c>
      <c r="I28" s="24">
        <v>77.581451350000009</v>
      </c>
      <c r="J28" s="24">
        <v>61.211098238095246</v>
      </c>
      <c r="K28" s="24">
        <v>46.586617428571437</v>
      </c>
      <c r="L28" s="24">
        <v>56.430382166666682</v>
      </c>
      <c r="M28" s="24">
        <v>55.176776090909101</v>
      </c>
      <c r="N28" s="33">
        <v>84.156300105691088</v>
      </c>
      <c r="O28" s="34" t="s">
        <v>101</v>
      </c>
      <c r="P28" s="26"/>
      <c r="Q28" s="26"/>
    </row>
    <row r="29" spans="1:18" ht="15.6" x14ac:dyDescent="0.3">
      <c r="A29" s="32" t="s">
        <v>102</v>
      </c>
      <c r="B29" s="24">
        <v>59.070307599999992</v>
      </c>
      <c r="C29" s="24">
        <v>63.821381000000002</v>
      </c>
      <c r="D29" s="24">
        <v>61.745464190476184</v>
      </c>
      <c r="E29" s="24">
        <v>56.300030227272721</v>
      </c>
      <c r="F29" s="24">
        <v>47.327433333333339</v>
      </c>
      <c r="G29" s="24">
        <v>46.104868599999996</v>
      </c>
      <c r="H29" s="24">
        <v>46.675260727272715</v>
      </c>
      <c r="I29" s="24">
        <v>42.504005149999998</v>
      </c>
      <c r="J29" s="24">
        <v>35.680888380952382</v>
      </c>
      <c r="K29" s="24">
        <v>28.078798200000005</v>
      </c>
      <c r="L29" s="24">
        <v>30.525591894736845</v>
      </c>
      <c r="M29" s="24">
        <v>36.421309142857147</v>
      </c>
      <c r="N29" s="33">
        <v>46.16562723966944</v>
      </c>
      <c r="O29" s="34" t="s">
        <v>103</v>
      </c>
      <c r="P29" s="26"/>
      <c r="Q29" s="26"/>
    </row>
    <row r="30" spans="1:18" ht="15.6" x14ac:dyDescent="0.3">
      <c r="A30" s="32" t="s">
        <v>104</v>
      </c>
      <c r="B30" s="24">
        <v>39.879094571428574</v>
      </c>
      <c r="C30" s="24">
        <v>45.006805849999999</v>
      </c>
      <c r="D30" s="24">
        <v>46.963111931818183</v>
      </c>
      <c r="E30" s="24">
        <v>43.519136674999999</v>
      </c>
      <c r="F30" s="24">
        <v>44.384978928571435</v>
      </c>
      <c r="G30" s="24">
        <v>44.480860166666659</v>
      </c>
      <c r="H30" s="24">
        <v>49.252621083333331</v>
      </c>
      <c r="I30" s="24">
        <v>44.456194318181822</v>
      </c>
      <c r="J30" s="24">
        <v>52.735649124999995</v>
      </c>
      <c r="K30" s="24">
        <v>54.077528250000015</v>
      </c>
      <c r="L30" s="24">
        <v>54.86268470000001</v>
      </c>
      <c r="M30" s="24">
        <v>51.469629652173914</v>
      </c>
      <c r="N30" s="33">
        <v>47.557812594621531</v>
      </c>
      <c r="O30" s="34" t="s">
        <v>105</v>
      </c>
      <c r="P30" s="26"/>
      <c r="Q30" s="26"/>
    </row>
    <row r="31" spans="1:18" ht="15.6" x14ac:dyDescent="0.3">
      <c r="A31" s="32" t="s">
        <v>106</v>
      </c>
      <c r="B31" s="24">
        <v>52.490691055555551</v>
      </c>
      <c r="C31" s="24">
        <v>50.567623025000003</v>
      </c>
      <c r="D31" s="24">
        <v>46.555774</v>
      </c>
      <c r="E31" s="24">
        <v>47.857632880952387</v>
      </c>
      <c r="F31" s="24">
        <v>50.633570880952391</v>
      </c>
      <c r="G31" s="24">
        <v>54.523307750000001</v>
      </c>
      <c r="H31" s="24">
        <v>56.059518095238097</v>
      </c>
      <c r="I31" s="24">
        <v>61.315904545454551</v>
      </c>
      <c r="J31" s="24">
        <v>62.290080157894742</v>
      </c>
      <c r="K31" s="24">
        <v>67.060153386363623</v>
      </c>
      <c r="L31" s="24">
        <v>63.537335763157884</v>
      </c>
      <c r="M31" s="24">
        <v>63.795413214285702</v>
      </c>
      <c r="N31" s="33">
        <v>56.426878865306136</v>
      </c>
      <c r="O31" s="34" t="s">
        <v>107</v>
      </c>
      <c r="P31" s="26"/>
      <c r="Q31" s="26"/>
    </row>
    <row r="32" spans="1:18" ht="15.6" x14ac:dyDescent="0.3">
      <c r="A32" s="32" t="s">
        <v>108</v>
      </c>
      <c r="B32" s="24">
        <v>69.219098437499994</v>
      </c>
      <c r="C32" s="24">
        <v>75.252045250000009</v>
      </c>
      <c r="D32" s="24">
        <v>73.825793025000024</v>
      </c>
      <c r="E32" s="24">
        <v>73.468274863636353</v>
      </c>
      <c r="F32" s="24">
        <v>72.5347376</v>
      </c>
      <c r="G32" s="24">
        <v>77.883389637499988</v>
      </c>
      <c r="H32" s="24">
        <v>80.082670250000007</v>
      </c>
      <c r="I32" s="24">
        <v>65.399219369047628</v>
      </c>
      <c r="J32" s="24">
        <v>57.772638352941186</v>
      </c>
      <c r="K32" s="24">
        <v>59.26800257954546</v>
      </c>
      <c r="L32" s="24">
        <v>64.534530625000002</v>
      </c>
      <c r="M32" s="24">
        <v>66.739999999999995</v>
      </c>
      <c r="N32" s="33">
        <v>69.88</v>
      </c>
      <c r="O32" s="34" t="s">
        <v>109</v>
      </c>
      <c r="P32" s="26"/>
      <c r="Q32" s="26"/>
    </row>
    <row r="33" spans="1:17" ht="15.6" x14ac:dyDescent="0.3">
      <c r="A33" s="32" t="s">
        <v>110</v>
      </c>
      <c r="B33" s="24">
        <v>71.000922499999987</v>
      </c>
      <c r="C33" s="24">
        <v>70.013724342105249</v>
      </c>
      <c r="D33" s="24">
        <v>62.374424999999988</v>
      </c>
      <c r="E33" s="24">
        <v>63.627010326086953</v>
      </c>
      <c r="F33" s="24">
        <v>59.349817105263163</v>
      </c>
      <c r="G33" s="24">
        <v>61.723273214285719</v>
      </c>
      <c r="H33" s="24">
        <v>59.703420454545466</v>
      </c>
      <c r="I33" s="24">
        <v>62.53257261904762</v>
      </c>
      <c r="J33" s="24">
        <v>65.502042500000016</v>
      </c>
      <c r="K33" s="24">
        <v>64.309747023809535</v>
      </c>
      <c r="L33" s="24">
        <v>54.627359999999996</v>
      </c>
      <c r="M33" s="24">
        <v>33.358738068181822</v>
      </c>
      <c r="N33" s="33">
        <v>60.470826062752998</v>
      </c>
      <c r="O33" s="34" t="s">
        <v>111</v>
      </c>
      <c r="P33" s="26"/>
      <c r="Q33" s="26"/>
    </row>
    <row r="34" spans="1:17" ht="15.6" x14ac:dyDescent="0.3">
      <c r="A34" s="32" t="s">
        <v>112</v>
      </c>
      <c r="B34" s="24">
        <v>19.901683749999997</v>
      </c>
      <c r="C34" s="24">
        <v>30.605539617647054</v>
      </c>
      <c r="D34" s="24">
        <v>40.633868636363637</v>
      </c>
      <c r="E34" s="24">
        <v>43.347552547619046</v>
      </c>
      <c r="F34" s="24">
        <v>44.190017605263151</v>
      </c>
      <c r="G34" s="24">
        <v>41.35410665909091</v>
      </c>
      <c r="H34" s="24">
        <v>40.658228000000001</v>
      </c>
      <c r="I34" s="24">
        <v>43.340640499999999</v>
      </c>
      <c r="J34" s="24">
        <v>49.839816952380943</v>
      </c>
      <c r="K34" s="24">
        <v>54.794569624999994</v>
      </c>
      <c r="L34" s="24">
        <v>61.216117289473672</v>
      </c>
      <c r="M34" s="24">
        <v>64.729496782608663</v>
      </c>
      <c r="N34" s="33">
        <v>44.821938917004019</v>
      </c>
      <c r="O34" s="34" t="s">
        <v>113</v>
      </c>
      <c r="P34" s="26"/>
      <c r="Q34" s="26"/>
    </row>
    <row r="35" spans="1:17" ht="15.6" x14ac:dyDescent="0.3">
      <c r="A35" s="32" t="s">
        <v>114</v>
      </c>
      <c r="B35" s="43">
        <v>63.396976500000008</v>
      </c>
      <c r="C35" s="43">
        <v>66.953084852941174</v>
      </c>
      <c r="D35" s="43">
        <v>71.982647477272721</v>
      </c>
      <c r="E35" s="43">
        <v>73.539060523809511</v>
      </c>
      <c r="F35" s="43">
        <v>69.804724424999989</v>
      </c>
      <c r="G35" s="43">
        <v>73.130738295454549</v>
      </c>
      <c r="H35" s="43">
        <v>82.107393785714294</v>
      </c>
      <c r="I35" s="43">
        <v>80.637301023809528</v>
      </c>
      <c r="J35" s="43">
        <v>73.298823523809531</v>
      </c>
      <c r="K35" s="43">
        <v>84.666318799999985</v>
      </c>
      <c r="L35" s="43">
        <v>94.067715194444446</v>
      </c>
      <c r="M35" s="43">
        <v>112.87479254347826</v>
      </c>
      <c r="N35" s="33">
        <v>79.181425130081294</v>
      </c>
      <c r="O35" s="34" t="s">
        <v>113</v>
      </c>
      <c r="P35" s="26"/>
      <c r="Q35" s="26"/>
    </row>
    <row r="36" spans="1:17" ht="15.6" x14ac:dyDescent="0.3">
      <c r="A36" s="32" t="s">
        <v>115</v>
      </c>
      <c r="B36" s="43">
        <v>102.96599786842103</v>
      </c>
      <c r="C36" s="43">
        <v>109.50503773684208</v>
      </c>
      <c r="D36" s="43">
        <v>116.01138504999999</v>
      </c>
      <c r="E36" s="43">
        <v>105.49124737500001</v>
      </c>
      <c r="F36" s="43">
        <v>97.404465428571427</v>
      </c>
      <c r="G36" s="43">
        <v>90.706344809523813</v>
      </c>
      <c r="H36" s="43">
        <v>91.698948700000003</v>
      </c>
      <c r="I36" s="43">
        <v>87.552266068181822</v>
      </c>
      <c r="J36" s="43">
        <v>78.100942275000008</v>
      </c>
      <c r="K36" s="43">
        <v>80.922269684210534</v>
      </c>
      <c r="L36" s="43">
        <v>82.278706675000009</v>
      </c>
      <c r="M36" s="43">
        <v>78.539480282608693</v>
      </c>
      <c r="N36" s="33">
        <v>93.151566872950767</v>
      </c>
      <c r="O36" s="34" t="s">
        <v>113</v>
      </c>
      <c r="P36" s="26"/>
      <c r="Q36" s="26"/>
    </row>
    <row r="37" spans="1:17" ht="15.6" x14ac:dyDescent="0.3">
      <c r="A37" s="32" t="s">
        <v>116</v>
      </c>
      <c r="B37" s="43">
        <v>83.755358416666667</v>
      </c>
      <c r="C37" s="43">
        <v>74.981547824999993</v>
      </c>
      <c r="D37" s="24">
        <v>74.928252024999992</v>
      </c>
      <c r="E37" s="24">
        <v>80.368492428571415</v>
      </c>
      <c r="F37" s="24">
        <v>86.426703761904761</v>
      </c>
      <c r="G37" s="24">
        <v>93.539339400000003</v>
      </c>
      <c r="H37" s="24">
        <v>90.080343022727263</v>
      </c>
      <c r="I37" s="24">
        <v>83.455368214285699</v>
      </c>
      <c r="J37" s="24">
        <v>77.419721631578938</v>
      </c>
      <c r="K37" s="24">
        <v>79.216541545454547</v>
      </c>
      <c r="L37" s="24">
        <v>81.621881399999992</v>
      </c>
      <c r="M37" s="24">
        <v>84.486883150000011</v>
      </c>
      <c r="N37" s="33">
        <v>82.580010456967216</v>
      </c>
      <c r="O37" s="34" t="s">
        <v>113</v>
      </c>
      <c r="P37" s="26"/>
      <c r="Q37" s="26"/>
    </row>
    <row r="38" spans="1:17" ht="15.6" x14ac:dyDescent="0.3">
      <c r="A38" s="32" t="s">
        <v>117</v>
      </c>
      <c r="B38" s="24">
        <v>89.437476250000003</v>
      </c>
      <c r="C38" s="24">
        <v>83.624938157894732</v>
      </c>
      <c r="D38" s="24">
        <v>82.552871052631588</v>
      </c>
      <c r="E38" s="24">
        <v>84.148165217391295</v>
      </c>
      <c r="F38" s="24">
        <v>78.270687499999994</v>
      </c>
      <c r="G38" s="24">
        <v>73.694888690476205</v>
      </c>
      <c r="H38" s="24">
        <v>75.124704545454534</v>
      </c>
      <c r="I38" s="24">
        <v>73.016986904761893</v>
      </c>
      <c r="J38" s="24">
        <v>73.336846874999978</v>
      </c>
      <c r="K38" s="24">
        <v>80.196197499999997</v>
      </c>
      <c r="L38" s="24">
        <v>77.328566875000007</v>
      </c>
      <c r="M38" s="24">
        <v>72.466606250000012</v>
      </c>
      <c r="N38" s="33">
        <v>78.560027295918331</v>
      </c>
      <c r="O38" s="34" t="s">
        <v>118</v>
      </c>
      <c r="P38" s="26"/>
      <c r="Q38" s="26"/>
    </row>
    <row r="39" spans="1:17" ht="15.6" x14ac:dyDescent="0.3">
      <c r="A39" s="38" t="s">
        <v>119</v>
      </c>
      <c r="B39" s="39"/>
      <c r="C39" s="39"/>
      <c r="D39" s="39"/>
      <c r="E39" s="39"/>
      <c r="F39" s="39"/>
      <c r="G39" s="40"/>
      <c r="H39" s="40"/>
      <c r="I39" s="40"/>
      <c r="J39" s="40"/>
      <c r="K39" s="40"/>
      <c r="L39" s="40"/>
      <c r="M39" s="40"/>
      <c r="N39" s="26"/>
      <c r="O39" s="26"/>
      <c r="P39" s="26"/>
      <c r="Q39" s="26"/>
    </row>
    <row r="40" spans="1:17" ht="15.6" x14ac:dyDescent="0.3">
      <c r="A40" s="90" t="s">
        <v>120</v>
      </c>
      <c r="B40" s="90"/>
      <c r="C40" s="90"/>
      <c r="D40" s="90"/>
      <c r="E40" s="90"/>
      <c r="F40" s="90"/>
      <c r="G40" s="90"/>
      <c r="H40" s="90"/>
      <c r="I40" s="90"/>
      <c r="J40" s="90"/>
      <c r="K40" s="90"/>
      <c r="L40" s="90"/>
      <c r="M40" s="90"/>
      <c r="N40" s="90"/>
      <c r="O40" s="90"/>
      <c r="P40" s="26"/>
      <c r="Q40" s="26"/>
    </row>
    <row r="41" spans="1:17" ht="15.6" x14ac:dyDescent="0.3">
      <c r="A41" s="90" t="s">
        <v>121</v>
      </c>
      <c r="B41" s="90"/>
      <c r="C41" s="90"/>
      <c r="D41" s="90"/>
      <c r="E41" s="90"/>
      <c r="F41" s="90"/>
      <c r="G41" s="90"/>
      <c r="H41" s="90"/>
      <c r="I41" s="90"/>
      <c r="J41" s="90"/>
      <c r="K41" s="90"/>
      <c r="L41" s="90"/>
      <c r="M41" s="90"/>
      <c r="N41" s="90"/>
      <c r="O41" s="90"/>
      <c r="P41" s="26"/>
      <c r="Q41" s="26"/>
    </row>
    <row r="42" spans="1:17" ht="15.6" x14ac:dyDescent="0.3">
      <c r="A42" s="41"/>
      <c r="B42" s="26"/>
      <c r="C42" s="26"/>
      <c r="D42" s="26"/>
      <c r="E42" s="26"/>
      <c r="F42" s="26"/>
      <c r="G42" s="26"/>
      <c r="H42" s="26"/>
      <c r="I42" s="26"/>
      <c r="J42" s="26"/>
      <c r="K42" s="26"/>
      <c r="L42" s="26"/>
      <c r="M42" s="26"/>
      <c r="N42" s="26"/>
      <c r="O42" s="26"/>
      <c r="P42" s="26"/>
      <c r="Q42" s="26"/>
    </row>
    <row r="43" spans="1:17" ht="15.6" x14ac:dyDescent="0.3">
      <c r="A43" s="41"/>
      <c r="B43" s="42"/>
      <c r="C43" s="42"/>
      <c r="D43" s="42"/>
      <c r="E43" s="42"/>
      <c r="F43" s="42"/>
      <c r="G43" s="42"/>
      <c r="H43" s="42"/>
      <c r="I43" s="42"/>
      <c r="J43" s="42"/>
      <c r="K43" s="42"/>
      <c r="L43" s="42"/>
      <c r="M43" s="42"/>
      <c r="N43" s="26"/>
      <c r="O43" s="26"/>
      <c r="P43" s="26"/>
      <c r="Q43" s="26"/>
    </row>
    <row r="44" spans="1:17" ht="15.6" x14ac:dyDescent="0.3">
      <c r="A44" s="41"/>
      <c r="B44" s="42"/>
      <c r="C44" s="42"/>
      <c r="D44" s="42"/>
      <c r="E44" s="42"/>
      <c r="F44" s="42"/>
      <c r="G44" s="42"/>
      <c r="H44" s="42"/>
      <c r="I44" s="42"/>
      <c r="J44" s="42"/>
      <c r="K44" s="42"/>
      <c r="L44" s="42"/>
      <c r="M44" s="42"/>
      <c r="N44" s="26"/>
      <c r="O44" s="26"/>
      <c r="P44" s="26"/>
      <c r="Q44" s="26"/>
    </row>
  </sheetData>
  <mergeCells count="4">
    <mergeCell ref="A2:O2"/>
    <mergeCell ref="A8:O8"/>
    <mergeCell ref="A40:O40"/>
    <mergeCell ref="A41:O4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2FDF-4879-4D4D-8155-83A13CD795C4}">
  <dimension ref="A1:AB131"/>
  <sheetViews>
    <sheetView topLeftCell="A102" zoomScale="85" workbookViewId="0">
      <selection activeCell="C32" sqref="C32"/>
    </sheetView>
  </sheetViews>
  <sheetFormatPr defaultRowHeight="14.4" x14ac:dyDescent="0.3"/>
  <cols>
    <col min="1" max="1" width="29.109375" customWidth="1"/>
    <col min="2" max="2" width="24.21875" customWidth="1"/>
    <col min="3" max="3" width="20.109375" customWidth="1"/>
    <col min="4" max="4" width="13.88671875" customWidth="1"/>
    <col min="5" max="5" width="7.88671875" customWidth="1"/>
    <col min="6" max="6" width="15.5546875" bestFit="1" customWidth="1"/>
    <col min="7" max="7" width="11" bestFit="1" customWidth="1"/>
    <col min="8" max="8" width="5.44140625" bestFit="1" customWidth="1"/>
    <col min="9" max="9" width="9.88671875" bestFit="1" customWidth="1"/>
    <col min="10" max="10" width="17.21875" bestFit="1" customWidth="1"/>
    <col min="11" max="11" width="21.109375" bestFit="1" customWidth="1"/>
    <col min="12" max="12" width="6" bestFit="1" customWidth="1"/>
    <col min="13" max="13" width="20.6640625" bestFit="1" customWidth="1"/>
    <col min="14" max="14" width="28.33203125" bestFit="1" customWidth="1"/>
    <col min="15" max="15" width="17.44140625" bestFit="1" customWidth="1"/>
    <col min="16" max="16" width="24.6640625" bestFit="1" customWidth="1"/>
    <col min="17" max="17" width="7.6640625" bestFit="1" customWidth="1"/>
    <col min="19" max="19" width="19.44140625" bestFit="1" customWidth="1"/>
    <col min="20" max="20" width="7.44140625" bestFit="1" customWidth="1"/>
    <col min="21" max="21" width="11.6640625" bestFit="1" customWidth="1"/>
    <col min="22" max="22" width="25.77734375" bestFit="1" customWidth="1"/>
    <col min="23" max="23" width="6.33203125" bestFit="1" customWidth="1"/>
    <col min="24" max="24" width="19.77734375" bestFit="1" customWidth="1"/>
    <col min="25" max="25" width="9.109375" bestFit="1" customWidth="1"/>
    <col min="26" max="26" width="23.6640625" bestFit="1" customWidth="1"/>
    <col min="27" max="27" width="25.88671875" bestFit="1" customWidth="1"/>
    <col min="28" max="28" width="12.5546875" bestFit="1" customWidth="1"/>
  </cols>
  <sheetData>
    <row r="1" spans="1:28" ht="18" x14ac:dyDescent="0.35">
      <c r="A1" s="75" t="s">
        <v>161</v>
      </c>
    </row>
    <row r="3" spans="1:28" ht="18" x14ac:dyDescent="0.3">
      <c r="A3" s="53" t="s">
        <v>130</v>
      </c>
      <c r="B3" s="51"/>
      <c r="C3" s="52"/>
      <c r="D3" s="52"/>
      <c r="E3" s="52"/>
      <c r="F3" s="52"/>
      <c r="G3" s="52"/>
      <c r="H3" s="52"/>
      <c r="I3" s="52"/>
      <c r="J3" s="52"/>
      <c r="K3" s="52"/>
      <c r="L3" s="52"/>
      <c r="M3" s="52"/>
      <c r="N3" s="52"/>
      <c r="O3" s="52"/>
      <c r="P3" s="52"/>
      <c r="Q3" s="52"/>
      <c r="R3" s="52"/>
      <c r="S3" s="52"/>
      <c r="T3" s="52"/>
      <c r="U3" s="52"/>
      <c r="V3" s="52"/>
      <c r="W3" s="52"/>
      <c r="X3" s="52"/>
      <c r="Y3" s="52"/>
      <c r="Z3" s="52"/>
      <c r="AA3" s="52"/>
      <c r="AB3" s="52"/>
    </row>
    <row r="4" spans="1:28" x14ac:dyDescent="0.3">
      <c r="A4" s="1" t="s">
        <v>67</v>
      </c>
      <c r="B4" s="44" t="s">
        <v>68</v>
      </c>
      <c r="C4" s="1" t="s">
        <v>3</v>
      </c>
      <c r="D4" s="1" t="s">
        <v>4</v>
      </c>
      <c r="E4" s="1" t="s">
        <v>5</v>
      </c>
      <c r="F4" s="1" t="s">
        <v>6</v>
      </c>
      <c r="G4" s="1" t="s">
        <v>7</v>
      </c>
      <c r="H4" s="1" t="s">
        <v>8</v>
      </c>
      <c r="I4" s="1" t="s">
        <v>9</v>
      </c>
      <c r="J4" s="1" t="s">
        <v>10</v>
      </c>
      <c r="K4" s="1" t="s">
        <v>11</v>
      </c>
      <c r="L4" s="1" t="s">
        <v>12</v>
      </c>
      <c r="M4" s="1" t="s">
        <v>47</v>
      </c>
      <c r="N4" s="1" t="s">
        <v>45</v>
      </c>
      <c r="O4" s="1" t="s">
        <v>13</v>
      </c>
      <c r="P4" s="1" t="s">
        <v>14</v>
      </c>
      <c r="Q4" s="1" t="s">
        <v>15</v>
      </c>
      <c r="R4" s="1" t="s">
        <v>16</v>
      </c>
      <c r="S4" s="1" t="s">
        <v>17</v>
      </c>
      <c r="T4" s="1" t="s">
        <v>18</v>
      </c>
      <c r="U4" s="1" t="s">
        <v>19</v>
      </c>
      <c r="V4" s="1" t="s">
        <v>20</v>
      </c>
      <c r="W4" s="1" t="s">
        <v>21</v>
      </c>
      <c r="X4" s="1" t="s">
        <v>46</v>
      </c>
      <c r="Y4" s="1" t="s">
        <v>24</v>
      </c>
      <c r="Z4" s="1" t="s">
        <v>23</v>
      </c>
      <c r="AA4" s="1" t="s">
        <v>22</v>
      </c>
      <c r="AB4" s="1" t="s">
        <v>25</v>
      </c>
    </row>
    <row r="5" spans="1:28" x14ac:dyDescent="0.3">
      <c r="A5" s="23">
        <v>44287</v>
      </c>
      <c r="B5" s="18">
        <v>63.396976500000008</v>
      </c>
      <c r="C5">
        <v>142.69999999999999</v>
      </c>
      <c r="D5">
        <v>195.5</v>
      </c>
      <c r="E5">
        <v>163.4</v>
      </c>
      <c r="F5">
        <v>155</v>
      </c>
      <c r="G5">
        <v>175.2</v>
      </c>
      <c r="H5">
        <v>160.6</v>
      </c>
      <c r="I5">
        <v>135.1</v>
      </c>
      <c r="J5">
        <v>161.1</v>
      </c>
      <c r="K5">
        <v>112.2</v>
      </c>
      <c r="L5">
        <v>164.4</v>
      </c>
      <c r="M5">
        <v>161.9</v>
      </c>
      <c r="N5">
        <v>166.8</v>
      </c>
      <c r="O5">
        <v>155.6</v>
      </c>
      <c r="P5">
        <v>186.8</v>
      </c>
      <c r="Q5">
        <v>160.69999999999999</v>
      </c>
      <c r="R5">
        <v>155.1</v>
      </c>
      <c r="S5">
        <v>159.9</v>
      </c>
      <c r="T5" s="2">
        <v>161.4</v>
      </c>
      <c r="U5">
        <v>156</v>
      </c>
      <c r="V5">
        <v>155.5</v>
      </c>
      <c r="W5">
        <v>165.3</v>
      </c>
      <c r="X5">
        <v>154.6</v>
      </c>
      <c r="Y5">
        <v>164.1</v>
      </c>
      <c r="Z5">
        <v>158.6</v>
      </c>
      <c r="AA5">
        <v>151.69999999999999</v>
      </c>
      <c r="AB5">
        <v>158</v>
      </c>
    </row>
    <row r="6" spans="1:28" x14ac:dyDescent="0.3">
      <c r="A6" s="23">
        <v>44317</v>
      </c>
      <c r="B6" s="18">
        <v>66.953084852941174</v>
      </c>
      <c r="C6">
        <v>145.1</v>
      </c>
      <c r="D6">
        <v>198.5</v>
      </c>
      <c r="E6">
        <v>168.6</v>
      </c>
      <c r="F6">
        <v>155.80000000000001</v>
      </c>
      <c r="G6">
        <v>184.4</v>
      </c>
      <c r="H6">
        <v>162.30000000000001</v>
      </c>
      <c r="I6">
        <v>138.4</v>
      </c>
      <c r="J6">
        <v>165.1</v>
      </c>
      <c r="K6">
        <v>114.3</v>
      </c>
      <c r="L6">
        <v>169.7</v>
      </c>
      <c r="M6">
        <v>164.6</v>
      </c>
      <c r="N6">
        <v>169.8</v>
      </c>
      <c r="O6">
        <v>158.69999999999999</v>
      </c>
      <c r="P6">
        <v>189.6</v>
      </c>
      <c r="Q6">
        <v>165.3</v>
      </c>
      <c r="R6">
        <v>160.6</v>
      </c>
      <c r="S6">
        <v>164.5</v>
      </c>
      <c r="T6" s="2">
        <v>161.6</v>
      </c>
      <c r="U6">
        <v>161.69999999999999</v>
      </c>
      <c r="V6">
        <v>158.80000000000001</v>
      </c>
      <c r="W6">
        <v>169.1</v>
      </c>
      <c r="X6">
        <v>159.30000000000001</v>
      </c>
      <c r="Y6">
        <v>167.6</v>
      </c>
      <c r="Z6">
        <v>160</v>
      </c>
      <c r="AA6">
        <v>153.19999999999999</v>
      </c>
      <c r="AB6">
        <v>161.1</v>
      </c>
    </row>
    <row r="7" spans="1:28" x14ac:dyDescent="0.3">
      <c r="A7" s="23">
        <v>44348</v>
      </c>
      <c r="B7" s="18">
        <v>71.982647477272721</v>
      </c>
      <c r="C7">
        <v>145.6</v>
      </c>
      <c r="D7">
        <v>200.1</v>
      </c>
      <c r="E7">
        <v>179.3</v>
      </c>
      <c r="F7">
        <v>156.1</v>
      </c>
      <c r="G7">
        <v>190.4</v>
      </c>
      <c r="H7">
        <v>158.6</v>
      </c>
      <c r="I7">
        <v>144.69999999999999</v>
      </c>
      <c r="J7">
        <v>165.5</v>
      </c>
      <c r="K7">
        <v>114.6</v>
      </c>
      <c r="L7">
        <v>170</v>
      </c>
      <c r="M7">
        <v>165.5</v>
      </c>
      <c r="N7">
        <v>171.7</v>
      </c>
      <c r="O7">
        <v>160.5</v>
      </c>
      <c r="P7">
        <v>189.1</v>
      </c>
      <c r="Q7">
        <v>165.3</v>
      </c>
      <c r="R7">
        <v>159.9</v>
      </c>
      <c r="S7">
        <v>164.6</v>
      </c>
      <c r="T7" s="2">
        <v>160.5</v>
      </c>
      <c r="U7">
        <v>162.1</v>
      </c>
      <c r="V7">
        <v>159.19999999999999</v>
      </c>
      <c r="W7">
        <v>169.7</v>
      </c>
      <c r="X7">
        <v>159.4</v>
      </c>
      <c r="Y7">
        <v>166.8</v>
      </c>
      <c r="Z7">
        <v>160.4</v>
      </c>
      <c r="AA7">
        <v>154.19999999999999</v>
      </c>
      <c r="AB7">
        <v>161.5</v>
      </c>
    </row>
    <row r="8" spans="1:28" x14ac:dyDescent="0.3">
      <c r="A8" s="23">
        <v>44378</v>
      </c>
      <c r="B8" s="18">
        <v>73.539060523809511</v>
      </c>
      <c r="C8">
        <v>145.1</v>
      </c>
      <c r="D8">
        <v>204.5</v>
      </c>
      <c r="E8">
        <v>180.4</v>
      </c>
      <c r="F8">
        <v>157.1</v>
      </c>
      <c r="G8">
        <v>188.7</v>
      </c>
      <c r="H8">
        <v>157.69999999999999</v>
      </c>
      <c r="I8">
        <v>152.80000000000001</v>
      </c>
      <c r="J8">
        <v>163.6</v>
      </c>
      <c r="K8">
        <v>113.9</v>
      </c>
      <c r="L8">
        <v>169.7</v>
      </c>
      <c r="M8">
        <v>166.2</v>
      </c>
      <c r="N8">
        <v>171</v>
      </c>
      <c r="O8">
        <v>161.69999999999999</v>
      </c>
      <c r="P8">
        <v>189.7</v>
      </c>
      <c r="Q8">
        <v>166</v>
      </c>
      <c r="R8">
        <v>161.1</v>
      </c>
      <c r="S8">
        <v>165.3</v>
      </c>
      <c r="T8" s="2">
        <v>161.5</v>
      </c>
      <c r="U8">
        <v>162.5</v>
      </c>
      <c r="V8">
        <v>160.30000000000001</v>
      </c>
      <c r="W8">
        <v>170.4</v>
      </c>
      <c r="X8">
        <v>160.4</v>
      </c>
      <c r="Y8">
        <v>167.2</v>
      </c>
      <c r="Z8">
        <v>160.69999999999999</v>
      </c>
      <c r="AA8">
        <v>157.1</v>
      </c>
      <c r="AB8">
        <v>162.80000000000001</v>
      </c>
    </row>
    <row r="9" spans="1:28" x14ac:dyDescent="0.3">
      <c r="A9" s="23">
        <v>44409</v>
      </c>
      <c r="B9" s="18">
        <v>69.804724424999989</v>
      </c>
      <c r="C9">
        <v>144.9</v>
      </c>
      <c r="D9">
        <v>202.3</v>
      </c>
      <c r="E9">
        <v>176.5</v>
      </c>
      <c r="F9">
        <v>157.5</v>
      </c>
      <c r="G9">
        <v>190.9</v>
      </c>
      <c r="H9">
        <v>155.69999999999999</v>
      </c>
      <c r="I9">
        <v>153.9</v>
      </c>
      <c r="J9">
        <v>162.80000000000001</v>
      </c>
      <c r="K9">
        <v>115.2</v>
      </c>
      <c r="L9">
        <v>169.8</v>
      </c>
      <c r="M9">
        <v>167.6</v>
      </c>
      <c r="N9">
        <v>171.9</v>
      </c>
      <c r="O9">
        <v>161.80000000000001</v>
      </c>
      <c r="P9">
        <v>190.2</v>
      </c>
      <c r="Q9">
        <v>167</v>
      </c>
      <c r="R9">
        <v>162.6</v>
      </c>
      <c r="S9">
        <v>166.3</v>
      </c>
      <c r="T9" s="2">
        <v>162.1</v>
      </c>
      <c r="U9">
        <v>163.1</v>
      </c>
      <c r="V9">
        <v>160.9</v>
      </c>
      <c r="W9">
        <v>171.1</v>
      </c>
      <c r="X9">
        <v>160.30000000000001</v>
      </c>
      <c r="Y9">
        <v>167.5</v>
      </c>
      <c r="Z9">
        <v>161.1</v>
      </c>
      <c r="AA9">
        <v>157.69999999999999</v>
      </c>
      <c r="AB9">
        <v>163.30000000000001</v>
      </c>
    </row>
    <row r="10" spans="1:28" x14ac:dyDescent="0.3">
      <c r="A10" s="23">
        <v>44440</v>
      </c>
      <c r="B10" s="18">
        <v>73.130738295454549</v>
      </c>
      <c r="C10">
        <v>145.4</v>
      </c>
      <c r="D10">
        <v>202.1</v>
      </c>
      <c r="E10">
        <v>172</v>
      </c>
      <c r="F10">
        <v>158</v>
      </c>
      <c r="G10">
        <v>195.5</v>
      </c>
      <c r="H10">
        <v>152.69999999999999</v>
      </c>
      <c r="I10">
        <v>151.4</v>
      </c>
      <c r="J10">
        <v>163.9</v>
      </c>
      <c r="K10">
        <v>119.3</v>
      </c>
      <c r="L10">
        <v>170.1</v>
      </c>
      <c r="M10">
        <v>168.3</v>
      </c>
      <c r="N10">
        <v>172.8</v>
      </c>
      <c r="O10">
        <v>162.1</v>
      </c>
      <c r="P10">
        <v>190.5</v>
      </c>
      <c r="Q10">
        <v>167.7</v>
      </c>
      <c r="R10">
        <v>163.6</v>
      </c>
      <c r="S10">
        <v>167.1</v>
      </c>
      <c r="T10" s="2">
        <v>162.1</v>
      </c>
      <c r="U10">
        <v>163.69999999999999</v>
      </c>
      <c r="V10">
        <v>161.30000000000001</v>
      </c>
      <c r="W10">
        <v>171.9</v>
      </c>
      <c r="X10">
        <v>160.19999999999999</v>
      </c>
      <c r="Y10">
        <v>168.5</v>
      </c>
      <c r="Z10">
        <v>162.69999999999999</v>
      </c>
      <c r="AA10">
        <v>157.80000000000001</v>
      </c>
      <c r="AB10">
        <v>163.80000000000001</v>
      </c>
    </row>
    <row r="11" spans="1:28" x14ac:dyDescent="0.3">
      <c r="A11" s="23">
        <v>44470</v>
      </c>
      <c r="B11" s="18">
        <v>82.107393785714294</v>
      </c>
      <c r="C11">
        <v>146.1</v>
      </c>
      <c r="D11">
        <v>202.5</v>
      </c>
      <c r="E11">
        <v>170.1</v>
      </c>
      <c r="F11">
        <v>158.4</v>
      </c>
      <c r="G11">
        <v>198.8</v>
      </c>
      <c r="H11">
        <v>152.6</v>
      </c>
      <c r="I11">
        <v>170.4</v>
      </c>
      <c r="J11">
        <v>165.2</v>
      </c>
      <c r="K11">
        <v>121.6</v>
      </c>
      <c r="L11">
        <v>170.6</v>
      </c>
      <c r="M11">
        <v>168.8</v>
      </c>
      <c r="N11">
        <v>173.6</v>
      </c>
      <c r="O11">
        <v>165.5</v>
      </c>
      <c r="P11">
        <v>191.2</v>
      </c>
      <c r="Q11">
        <v>168.9</v>
      </c>
      <c r="R11">
        <v>164.8</v>
      </c>
      <c r="S11">
        <v>168.3</v>
      </c>
      <c r="T11" s="2">
        <v>163.6</v>
      </c>
      <c r="U11">
        <v>165.5</v>
      </c>
      <c r="V11">
        <v>162</v>
      </c>
      <c r="W11">
        <v>172.5</v>
      </c>
      <c r="X11">
        <v>161.1</v>
      </c>
      <c r="Y11">
        <v>169</v>
      </c>
      <c r="Z11">
        <v>163.19999999999999</v>
      </c>
      <c r="AA11">
        <v>159.5</v>
      </c>
      <c r="AB11">
        <v>164.7</v>
      </c>
    </row>
    <row r="12" spans="1:28" x14ac:dyDescent="0.3">
      <c r="A12" s="23">
        <v>44501</v>
      </c>
      <c r="B12" s="18">
        <v>80.637301023809528</v>
      </c>
      <c r="C12">
        <v>146.9</v>
      </c>
      <c r="D12">
        <v>199.8</v>
      </c>
      <c r="E12">
        <v>171.5</v>
      </c>
      <c r="F12">
        <v>159.1</v>
      </c>
      <c r="G12">
        <v>198.4</v>
      </c>
      <c r="H12">
        <v>153.19999999999999</v>
      </c>
      <c r="I12">
        <v>183.9</v>
      </c>
      <c r="J12">
        <v>165.4</v>
      </c>
      <c r="K12">
        <v>122.1</v>
      </c>
      <c r="L12">
        <v>170.8</v>
      </c>
      <c r="M12">
        <v>169.1</v>
      </c>
      <c r="N12">
        <v>174.3</v>
      </c>
      <c r="O12">
        <v>167.5</v>
      </c>
      <c r="P12">
        <v>191.4</v>
      </c>
      <c r="Q12">
        <v>170.4</v>
      </c>
      <c r="R12">
        <v>166</v>
      </c>
      <c r="S12">
        <v>169.8</v>
      </c>
      <c r="T12" s="2">
        <v>164.2</v>
      </c>
      <c r="U12">
        <v>165.3</v>
      </c>
      <c r="V12">
        <v>162.9</v>
      </c>
      <c r="W12">
        <v>173.4</v>
      </c>
      <c r="X12">
        <v>162.4</v>
      </c>
      <c r="Y12">
        <v>169.3</v>
      </c>
      <c r="Z12">
        <v>163.80000000000001</v>
      </c>
      <c r="AA12">
        <v>158.9</v>
      </c>
      <c r="AB12">
        <v>165.2</v>
      </c>
    </row>
    <row r="13" spans="1:28" x14ac:dyDescent="0.3">
      <c r="A13" s="23">
        <v>44531</v>
      </c>
      <c r="B13" s="18">
        <v>73.298823523809531</v>
      </c>
      <c r="C13">
        <v>147.4</v>
      </c>
      <c r="D13">
        <v>197</v>
      </c>
      <c r="E13">
        <v>176.5</v>
      </c>
      <c r="F13">
        <v>159.80000000000001</v>
      </c>
      <c r="G13">
        <v>195.8</v>
      </c>
      <c r="H13">
        <v>152</v>
      </c>
      <c r="I13">
        <v>172.3</v>
      </c>
      <c r="J13">
        <v>164.5</v>
      </c>
      <c r="K13">
        <v>120.6</v>
      </c>
      <c r="L13">
        <v>171.7</v>
      </c>
      <c r="M13">
        <v>169.7</v>
      </c>
      <c r="N13">
        <v>175.1</v>
      </c>
      <c r="O13">
        <v>165.8</v>
      </c>
      <c r="P13">
        <v>190.8</v>
      </c>
      <c r="Q13">
        <v>171.8</v>
      </c>
      <c r="R13">
        <v>167.3</v>
      </c>
      <c r="S13">
        <v>171.2</v>
      </c>
      <c r="T13" s="2">
        <v>163.4</v>
      </c>
      <c r="U13">
        <v>165.6</v>
      </c>
      <c r="V13">
        <v>163.9</v>
      </c>
      <c r="W13">
        <v>174</v>
      </c>
      <c r="X13">
        <v>162.80000000000001</v>
      </c>
      <c r="Y13">
        <v>169.7</v>
      </c>
      <c r="Z13">
        <v>164.5</v>
      </c>
      <c r="AA13">
        <v>160.1</v>
      </c>
      <c r="AB13">
        <v>166</v>
      </c>
    </row>
    <row r="14" spans="1:28" x14ac:dyDescent="0.3">
      <c r="A14" s="23">
        <v>44562</v>
      </c>
      <c r="B14" s="18">
        <v>84.666318799999985</v>
      </c>
      <c r="C14">
        <v>148.30000000000001</v>
      </c>
      <c r="D14">
        <v>196.9</v>
      </c>
      <c r="E14">
        <v>178</v>
      </c>
      <c r="F14">
        <v>160.5</v>
      </c>
      <c r="G14">
        <v>192.6</v>
      </c>
      <c r="H14">
        <v>151.19999999999999</v>
      </c>
      <c r="I14">
        <v>159.19999999999999</v>
      </c>
      <c r="J14">
        <v>164</v>
      </c>
      <c r="K14">
        <v>119.3</v>
      </c>
      <c r="L14">
        <v>173.3</v>
      </c>
      <c r="M14">
        <v>169.8</v>
      </c>
      <c r="N14">
        <v>175.8</v>
      </c>
      <c r="O14">
        <v>164.1</v>
      </c>
      <c r="P14">
        <v>190.7</v>
      </c>
      <c r="Q14">
        <v>173.2</v>
      </c>
      <c r="R14">
        <v>169.3</v>
      </c>
      <c r="S14">
        <v>172.7</v>
      </c>
      <c r="T14" s="2">
        <v>164.5</v>
      </c>
      <c r="U14">
        <v>165.8</v>
      </c>
      <c r="V14">
        <v>164.9</v>
      </c>
      <c r="W14">
        <v>174.7</v>
      </c>
      <c r="X14">
        <v>163.19999999999999</v>
      </c>
      <c r="Y14">
        <v>169.9</v>
      </c>
      <c r="Z14">
        <v>164.9</v>
      </c>
      <c r="AA14">
        <v>160.80000000000001</v>
      </c>
      <c r="AB14">
        <v>166.6</v>
      </c>
    </row>
    <row r="15" spans="1:28" x14ac:dyDescent="0.3">
      <c r="A15" s="23">
        <v>44593</v>
      </c>
      <c r="B15" s="18">
        <v>94.067715194444446</v>
      </c>
      <c r="C15">
        <v>148.80000000000001</v>
      </c>
      <c r="D15">
        <v>198.1</v>
      </c>
      <c r="E15">
        <v>175.5</v>
      </c>
      <c r="F15">
        <v>160.69999999999999</v>
      </c>
      <c r="G15">
        <v>192.6</v>
      </c>
      <c r="H15">
        <v>151.4</v>
      </c>
      <c r="I15">
        <v>155.19999999999999</v>
      </c>
      <c r="J15">
        <v>163.9</v>
      </c>
      <c r="K15">
        <v>118.1</v>
      </c>
      <c r="L15">
        <v>175.4</v>
      </c>
      <c r="M15">
        <v>170.5</v>
      </c>
      <c r="N15">
        <v>176.3</v>
      </c>
      <c r="O15">
        <v>163.9</v>
      </c>
      <c r="P15">
        <v>191.5</v>
      </c>
      <c r="Q15">
        <v>174.1</v>
      </c>
      <c r="R15">
        <v>171</v>
      </c>
      <c r="S15">
        <v>173.7</v>
      </c>
      <c r="T15" s="2">
        <v>165.5</v>
      </c>
      <c r="U15">
        <v>167.4</v>
      </c>
      <c r="V15">
        <v>165.7</v>
      </c>
      <c r="W15">
        <v>175.3</v>
      </c>
      <c r="X15">
        <v>164.5</v>
      </c>
      <c r="Y15">
        <v>170.3</v>
      </c>
      <c r="Z15">
        <v>165.5</v>
      </c>
      <c r="AA15">
        <v>161.19999999999999</v>
      </c>
      <c r="AB15">
        <v>167.3</v>
      </c>
    </row>
    <row r="16" spans="1:28" x14ac:dyDescent="0.3">
      <c r="A16" s="23">
        <v>44621</v>
      </c>
      <c r="B16" s="18">
        <v>112.87479254347826</v>
      </c>
      <c r="C16">
        <v>150.19999999999999</v>
      </c>
      <c r="D16">
        <v>208</v>
      </c>
      <c r="E16">
        <v>167.9</v>
      </c>
      <c r="F16">
        <v>162</v>
      </c>
      <c r="G16">
        <v>203.1</v>
      </c>
      <c r="H16">
        <v>155.9</v>
      </c>
      <c r="I16">
        <v>155.80000000000001</v>
      </c>
      <c r="J16">
        <v>164.2</v>
      </c>
      <c r="K16">
        <v>118.1</v>
      </c>
      <c r="L16">
        <v>178.7</v>
      </c>
      <c r="M16">
        <v>171.2</v>
      </c>
      <c r="N16">
        <v>177.4</v>
      </c>
      <c r="O16">
        <v>166.6</v>
      </c>
      <c r="P16">
        <v>192.3</v>
      </c>
      <c r="Q16">
        <v>175.4</v>
      </c>
      <c r="R16">
        <v>173.2</v>
      </c>
      <c r="S16">
        <v>175.1</v>
      </c>
      <c r="T16" s="2">
        <v>165.3</v>
      </c>
      <c r="U16">
        <v>168.9</v>
      </c>
      <c r="V16">
        <v>166.5</v>
      </c>
      <c r="W16">
        <v>176</v>
      </c>
      <c r="X16">
        <v>167.4</v>
      </c>
      <c r="Y16">
        <v>170.6</v>
      </c>
      <c r="Z16">
        <v>166.6</v>
      </c>
      <c r="AA16">
        <v>162</v>
      </c>
      <c r="AB16">
        <v>168.3</v>
      </c>
    </row>
    <row r="17" spans="1:28" x14ac:dyDescent="0.3">
      <c r="A17" s="23">
        <v>44652</v>
      </c>
      <c r="B17" s="18">
        <v>102.96599786842103</v>
      </c>
      <c r="C17">
        <v>151.80000000000001</v>
      </c>
      <c r="D17">
        <v>209.7</v>
      </c>
      <c r="E17">
        <v>164.5</v>
      </c>
      <c r="F17">
        <v>163.80000000000001</v>
      </c>
      <c r="G17">
        <v>207.4</v>
      </c>
      <c r="H17">
        <v>169.7</v>
      </c>
      <c r="I17">
        <v>153.6</v>
      </c>
      <c r="J17">
        <v>165.1</v>
      </c>
      <c r="K17">
        <v>118.2</v>
      </c>
      <c r="L17">
        <v>182.9</v>
      </c>
      <c r="M17">
        <v>172.4</v>
      </c>
      <c r="N17">
        <v>178.9</v>
      </c>
      <c r="O17">
        <v>168.6</v>
      </c>
      <c r="P17">
        <v>192.8</v>
      </c>
      <c r="Q17">
        <v>177.5</v>
      </c>
      <c r="R17">
        <v>175.1</v>
      </c>
      <c r="S17">
        <v>177.1</v>
      </c>
      <c r="T17" s="2">
        <v>167</v>
      </c>
      <c r="U17">
        <v>173.3</v>
      </c>
      <c r="V17">
        <v>167.7</v>
      </c>
      <c r="W17">
        <v>177</v>
      </c>
      <c r="X17">
        <v>169</v>
      </c>
      <c r="Y17">
        <v>170.9</v>
      </c>
      <c r="Z17">
        <v>167.2</v>
      </c>
      <c r="AA17">
        <v>166.2</v>
      </c>
      <c r="AB17">
        <v>170.2</v>
      </c>
    </row>
    <row r="18" spans="1:28" x14ac:dyDescent="0.3">
      <c r="A18" s="23">
        <v>44682</v>
      </c>
      <c r="B18" s="18">
        <v>109.50503773684208</v>
      </c>
      <c r="C18">
        <v>152.9</v>
      </c>
      <c r="D18">
        <v>214.7</v>
      </c>
      <c r="E18">
        <v>161.4</v>
      </c>
      <c r="F18">
        <v>164.6</v>
      </c>
      <c r="G18">
        <v>209.9</v>
      </c>
      <c r="H18">
        <v>168</v>
      </c>
      <c r="I18">
        <v>160.4</v>
      </c>
      <c r="J18">
        <v>165</v>
      </c>
      <c r="K18">
        <v>118.9</v>
      </c>
      <c r="L18">
        <v>186.6</v>
      </c>
      <c r="M18">
        <v>173.2</v>
      </c>
      <c r="N18">
        <v>180.4</v>
      </c>
      <c r="O18">
        <v>170.8</v>
      </c>
      <c r="P18">
        <v>192.9</v>
      </c>
      <c r="Q18">
        <v>179.3</v>
      </c>
      <c r="R18">
        <v>177.2</v>
      </c>
      <c r="S18">
        <v>179</v>
      </c>
      <c r="T18" s="2">
        <v>167.5</v>
      </c>
      <c r="U18">
        <v>175.3</v>
      </c>
      <c r="V18">
        <v>168.9</v>
      </c>
      <c r="W18">
        <v>177.7</v>
      </c>
      <c r="X18">
        <v>168.5</v>
      </c>
      <c r="Y18">
        <v>171.8</v>
      </c>
      <c r="Z18">
        <v>167.6</v>
      </c>
      <c r="AA18">
        <v>167.1</v>
      </c>
      <c r="AB18">
        <v>170.9</v>
      </c>
    </row>
    <row r="19" spans="1:28" x14ac:dyDescent="0.3">
      <c r="A19" s="23">
        <v>44713</v>
      </c>
      <c r="B19" s="18">
        <v>116.01138504999999</v>
      </c>
      <c r="C19">
        <v>153.80000000000001</v>
      </c>
      <c r="D19">
        <v>217.2</v>
      </c>
      <c r="E19">
        <v>169.6</v>
      </c>
      <c r="F19">
        <v>165.4</v>
      </c>
      <c r="G19">
        <v>208.1</v>
      </c>
      <c r="H19">
        <v>165.8</v>
      </c>
      <c r="I19">
        <v>167.3</v>
      </c>
      <c r="J19">
        <v>164.6</v>
      </c>
      <c r="K19">
        <v>119.1</v>
      </c>
      <c r="L19">
        <v>188.9</v>
      </c>
      <c r="M19">
        <v>174.2</v>
      </c>
      <c r="N19">
        <v>181.9</v>
      </c>
      <c r="O19">
        <v>172.4</v>
      </c>
      <c r="P19">
        <v>192.9</v>
      </c>
      <c r="Q19">
        <v>180.7</v>
      </c>
      <c r="R19">
        <v>178.7</v>
      </c>
      <c r="S19">
        <v>180.4</v>
      </c>
      <c r="T19" s="2">
        <v>166.8</v>
      </c>
      <c r="U19">
        <v>176.7</v>
      </c>
      <c r="V19">
        <v>170.3</v>
      </c>
      <c r="W19">
        <v>178.2</v>
      </c>
      <c r="X19">
        <v>169.5</v>
      </c>
      <c r="Y19">
        <v>172.6</v>
      </c>
      <c r="Z19">
        <v>168</v>
      </c>
      <c r="AA19">
        <v>165.5</v>
      </c>
      <c r="AB19">
        <v>171</v>
      </c>
    </row>
    <row r="20" spans="1:28" x14ac:dyDescent="0.3">
      <c r="A20" s="23">
        <v>44743</v>
      </c>
      <c r="B20" s="18">
        <v>105.49124737500001</v>
      </c>
      <c r="C20">
        <v>155.19999999999999</v>
      </c>
      <c r="D20">
        <v>210.8</v>
      </c>
      <c r="E20">
        <v>174.3</v>
      </c>
      <c r="F20">
        <v>166.3</v>
      </c>
      <c r="G20">
        <v>202.2</v>
      </c>
      <c r="H20">
        <v>169.6</v>
      </c>
      <c r="I20">
        <v>168.6</v>
      </c>
      <c r="J20">
        <v>164.4</v>
      </c>
      <c r="K20">
        <v>119.2</v>
      </c>
      <c r="L20">
        <v>191.8</v>
      </c>
      <c r="M20">
        <v>174.5</v>
      </c>
      <c r="N20">
        <v>183.1</v>
      </c>
      <c r="O20">
        <v>172.5</v>
      </c>
      <c r="P20">
        <v>193.2</v>
      </c>
      <c r="Q20">
        <v>182</v>
      </c>
      <c r="R20">
        <v>180.3</v>
      </c>
      <c r="S20">
        <v>181.7</v>
      </c>
      <c r="T20" s="2">
        <v>167.8</v>
      </c>
      <c r="U20">
        <v>179.6</v>
      </c>
      <c r="V20">
        <v>171.3</v>
      </c>
      <c r="W20">
        <v>178.8</v>
      </c>
      <c r="X20">
        <v>169.7</v>
      </c>
      <c r="Y20">
        <v>174.7</v>
      </c>
      <c r="Z20">
        <v>168.6</v>
      </c>
      <c r="AA20">
        <v>166.3</v>
      </c>
      <c r="AB20">
        <v>171.8</v>
      </c>
    </row>
    <row r="21" spans="1:28" x14ac:dyDescent="0.3">
      <c r="A21" s="23">
        <v>44774</v>
      </c>
      <c r="B21" s="18">
        <v>97.404465428571427</v>
      </c>
      <c r="C21">
        <v>159.5</v>
      </c>
      <c r="D21">
        <v>204.1</v>
      </c>
      <c r="E21">
        <v>168.3</v>
      </c>
      <c r="F21">
        <v>167.9</v>
      </c>
      <c r="G21">
        <v>198.1</v>
      </c>
      <c r="H21">
        <v>169.2</v>
      </c>
      <c r="I21">
        <v>173.1</v>
      </c>
      <c r="J21">
        <v>167.1</v>
      </c>
      <c r="K21">
        <v>120.2</v>
      </c>
      <c r="L21">
        <v>195.6</v>
      </c>
      <c r="M21">
        <v>174.8</v>
      </c>
      <c r="N21">
        <v>184</v>
      </c>
      <c r="O21">
        <v>173.9</v>
      </c>
      <c r="P21">
        <v>193.7</v>
      </c>
      <c r="Q21">
        <v>183.2</v>
      </c>
      <c r="R21">
        <v>181.7</v>
      </c>
      <c r="S21">
        <v>183</v>
      </c>
      <c r="T21" s="2">
        <v>169</v>
      </c>
      <c r="U21">
        <v>179.1</v>
      </c>
      <c r="V21">
        <v>172.3</v>
      </c>
      <c r="W21">
        <v>179.4</v>
      </c>
      <c r="X21">
        <v>171.1</v>
      </c>
      <c r="Y21">
        <v>175.7</v>
      </c>
      <c r="Z21">
        <v>169.3</v>
      </c>
      <c r="AA21">
        <v>166.6</v>
      </c>
      <c r="AB21">
        <v>172.6</v>
      </c>
    </row>
    <row r="22" spans="1:28" x14ac:dyDescent="0.3">
      <c r="A22" s="23">
        <v>44805</v>
      </c>
      <c r="B22" s="18">
        <v>90.706344809523813</v>
      </c>
      <c r="C22">
        <v>162.9</v>
      </c>
      <c r="D22">
        <v>206.7</v>
      </c>
      <c r="E22">
        <v>169</v>
      </c>
      <c r="F22">
        <v>169.5</v>
      </c>
      <c r="G22">
        <v>194.1</v>
      </c>
      <c r="H22">
        <v>164.1</v>
      </c>
      <c r="I22">
        <v>176.9</v>
      </c>
      <c r="J22">
        <v>169</v>
      </c>
      <c r="K22">
        <v>120.8</v>
      </c>
      <c r="L22">
        <v>199.1</v>
      </c>
      <c r="M22">
        <v>175.4</v>
      </c>
      <c r="N22">
        <v>184.8</v>
      </c>
      <c r="O22">
        <v>175.5</v>
      </c>
      <c r="P22">
        <v>194.5</v>
      </c>
      <c r="Q22">
        <v>184.7</v>
      </c>
      <c r="R22">
        <v>183.3</v>
      </c>
      <c r="S22">
        <v>184.5</v>
      </c>
      <c r="T22" s="2">
        <v>169.5</v>
      </c>
      <c r="U22">
        <v>179.7</v>
      </c>
      <c r="V22">
        <v>173.6</v>
      </c>
      <c r="W22">
        <v>180.2</v>
      </c>
      <c r="X22">
        <v>170.8</v>
      </c>
      <c r="Y22">
        <v>176.2</v>
      </c>
      <c r="Z22">
        <v>170</v>
      </c>
      <c r="AA22">
        <v>166.9</v>
      </c>
      <c r="AB22">
        <v>173.1</v>
      </c>
    </row>
    <row r="23" spans="1:28" x14ac:dyDescent="0.3">
      <c r="A23" s="23">
        <v>44835</v>
      </c>
      <c r="B23" s="18">
        <v>91.698948700000003</v>
      </c>
      <c r="C23">
        <v>164.7</v>
      </c>
      <c r="D23">
        <v>208.8</v>
      </c>
      <c r="E23">
        <v>170.3</v>
      </c>
      <c r="F23">
        <v>170.9</v>
      </c>
      <c r="G23">
        <v>191.6</v>
      </c>
      <c r="H23">
        <v>162.19999999999999</v>
      </c>
      <c r="I23">
        <v>184.8</v>
      </c>
      <c r="J23">
        <v>169.7</v>
      </c>
      <c r="K23">
        <v>121.1</v>
      </c>
      <c r="L23">
        <v>201.6</v>
      </c>
      <c r="M23">
        <v>175.8</v>
      </c>
      <c r="N23">
        <v>185.6</v>
      </c>
      <c r="O23">
        <v>177.4</v>
      </c>
      <c r="P23">
        <v>194.9</v>
      </c>
      <c r="Q23">
        <v>186.1</v>
      </c>
      <c r="R23">
        <v>184.4</v>
      </c>
      <c r="S23">
        <v>185.9</v>
      </c>
      <c r="T23" s="2">
        <v>171.2</v>
      </c>
      <c r="U23">
        <v>180.8</v>
      </c>
      <c r="V23">
        <v>174.4</v>
      </c>
      <c r="W23">
        <v>181.2</v>
      </c>
      <c r="X23">
        <v>172</v>
      </c>
      <c r="Y23">
        <v>176.5</v>
      </c>
      <c r="Z23">
        <v>170.6</v>
      </c>
      <c r="AA23">
        <v>167.4</v>
      </c>
      <c r="AB23">
        <v>173.9</v>
      </c>
    </row>
    <row r="24" spans="1:28" x14ac:dyDescent="0.3">
      <c r="A24" s="23">
        <v>44866</v>
      </c>
      <c r="B24" s="18">
        <v>87.552266068181822</v>
      </c>
      <c r="C24">
        <v>166.9</v>
      </c>
      <c r="D24">
        <v>207.2</v>
      </c>
      <c r="E24">
        <v>180.2</v>
      </c>
      <c r="F24">
        <v>172.3</v>
      </c>
      <c r="G24">
        <v>194</v>
      </c>
      <c r="H24">
        <v>159.1</v>
      </c>
      <c r="I24">
        <v>171.6</v>
      </c>
      <c r="J24">
        <v>170.2</v>
      </c>
      <c r="K24">
        <v>121.5</v>
      </c>
      <c r="L24">
        <v>204.8</v>
      </c>
      <c r="M24">
        <v>176.4</v>
      </c>
      <c r="N24">
        <v>186.9</v>
      </c>
      <c r="O24">
        <v>176.6</v>
      </c>
      <c r="P24">
        <v>195.5</v>
      </c>
      <c r="Q24">
        <v>187.2</v>
      </c>
      <c r="R24">
        <v>185.2</v>
      </c>
      <c r="S24">
        <v>186.9</v>
      </c>
      <c r="T24" s="2">
        <v>171.8</v>
      </c>
      <c r="U24">
        <v>181.9</v>
      </c>
      <c r="V24">
        <v>175.5</v>
      </c>
      <c r="W24">
        <v>182.3</v>
      </c>
      <c r="X24">
        <v>173.4</v>
      </c>
      <c r="Y24">
        <v>176.9</v>
      </c>
      <c r="Z24">
        <v>170.8</v>
      </c>
      <c r="AA24">
        <v>167.5</v>
      </c>
      <c r="AB24">
        <v>174.6</v>
      </c>
    </row>
    <row r="25" spans="1:28" x14ac:dyDescent="0.3">
      <c r="A25" s="23">
        <v>44896</v>
      </c>
      <c r="B25" s="18">
        <v>78.100942275000008</v>
      </c>
      <c r="C25">
        <v>168.8</v>
      </c>
      <c r="D25">
        <v>206.9</v>
      </c>
      <c r="E25">
        <v>189.1</v>
      </c>
      <c r="F25">
        <v>173.4</v>
      </c>
      <c r="G25">
        <v>193.9</v>
      </c>
      <c r="H25">
        <v>156.69999999999999</v>
      </c>
      <c r="I25">
        <v>150.19999999999999</v>
      </c>
      <c r="J25">
        <v>170.5</v>
      </c>
      <c r="K25">
        <v>121.2</v>
      </c>
      <c r="L25">
        <v>207.5</v>
      </c>
      <c r="M25">
        <v>176.8</v>
      </c>
      <c r="N25">
        <v>187.7</v>
      </c>
      <c r="O25">
        <v>174.4</v>
      </c>
      <c r="P25">
        <v>195.9</v>
      </c>
      <c r="Q25">
        <v>188.1</v>
      </c>
      <c r="R25">
        <v>185.9</v>
      </c>
      <c r="S25">
        <v>187.8</v>
      </c>
      <c r="T25" s="2">
        <v>170.7</v>
      </c>
      <c r="U25">
        <v>182.8</v>
      </c>
      <c r="V25">
        <v>176.4</v>
      </c>
      <c r="W25">
        <v>183.5</v>
      </c>
      <c r="X25">
        <v>175.7</v>
      </c>
      <c r="Y25">
        <v>177.3</v>
      </c>
      <c r="Z25">
        <v>171.2</v>
      </c>
      <c r="AA25">
        <v>167.8</v>
      </c>
      <c r="AB25">
        <v>175.5</v>
      </c>
    </row>
    <row r="26" spans="1:28" x14ac:dyDescent="0.3">
      <c r="A26" s="23">
        <v>44927</v>
      </c>
      <c r="B26" s="18">
        <v>80.922269684210534</v>
      </c>
      <c r="C26">
        <v>174</v>
      </c>
      <c r="D26">
        <v>208.3</v>
      </c>
      <c r="E26">
        <v>192.9</v>
      </c>
      <c r="F26">
        <v>174.3</v>
      </c>
      <c r="G26">
        <v>192.6</v>
      </c>
      <c r="H26">
        <v>156.30000000000001</v>
      </c>
      <c r="I26">
        <v>142.9</v>
      </c>
      <c r="J26">
        <v>170.7</v>
      </c>
      <c r="K26">
        <v>120.3</v>
      </c>
      <c r="L26">
        <v>210.5</v>
      </c>
      <c r="M26">
        <v>176.9</v>
      </c>
      <c r="N26">
        <v>188.5</v>
      </c>
      <c r="O26">
        <v>175</v>
      </c>
      <c r="P26">
        <v>196.9</v>
      </c>
      <c r="Q26">
        <v>189</v>
      </c>
      <c r="R26">
        <v>186.3</v>
      </c>
      <c r="S26">
        <v>188.6</v>
      </c>
      <c r="T26" s="2">
        <v>172.1</v>
      </c>
      <c r="U26">
        <v>183.2</v>
      </c>
      <c r="V26">
        <v>177.2</v>
      </c>
      <c r="W26">
        <v>184.7</v>
      </c>
      <c r="X26">
        <v>178.4</v>
      </c>
      <c r="Y26">
        <v>177.8</v>
      </c>
      <c r="Z26">
        <v>171.8</v>
      </c>
      <c r="AA26">
        <v>168.2</v>
      </c>
      <c r="AB26">
        <v>176.5</v>
      </c>
    </row>
    <row r="27" spans="1:28" x14ac:dyDescent="0.3">
      <c r="A27" s="23">
        <v>44958</v>
      </c>
      <c r="B27" s="18">
        <v>82.278706675000009</v>
      </c>
      <c r="C27">
        <v>174.2</v>
      </c>
      <c r="D27">
        <v>205.2</v>
      </c>
      <c r="E27">
        <v>173.9</v>
      </c>
      <c r="F27">
        <v>177</v>
      </c>
      <c r="G27">
        <v>183.4</v>
      </c>
      <c r="H27">
        <v>167.2</v>
      </c>
      <c r="I27">
        <v>140.9</v>
      </c>
      <c r="J27">
        <v>170.4</v>
      </c>
      <c r="K27">
        <v>119.1</v>
      </c>
      <c r="L27">
        <v>212.1</v>
      </c>
      <c r="M27">
        <v>177.6</v>
      </c>
      <c r="N27">
        <v>189.9</v>
      </c>
      <c r="O27">
        <v>174.8</v>
      </c>
      <c r="P27">
        <v>198.3</v>
      </c>
      <c r="Q27">
        <v>190</v>
      </c>
      <c r="R27">
        <v>187</v>
      </c>
      <c r="S27">
        <v>189.6</v>
      </c>
      <c r="T27" s="2">
        <v>173.5</v>
      </c>
      <c r="U27">
        <v>181.6</v>
      </c>
      <c r="V27">
        <v>178.6</v>
      </c>
      <c r="W27">
        <v>186.6</v>
      </c>
      <c r="X27">
        <v>180.7</v>
      </c>
      <c r="Y27">
        <v>178.5</v>
      </c>
      <c r="Z27">
        <v>172.8</v>
      </c>
      <c r="AA27">
        <v>169</v>
      </c>
      <c r="AB27">
        <v>177.9</v>
      </c>
    </row>
    <row r="28" spans="1:28" x14ac:dyDescent="0.3">
      <c r="A28" s="23">
        <v>44986</v>
      </c>
      <c r="B28" s="18">
        <v>78.539480282608693</v>
      </c>
      <c r="C28">
        <v>174.3</v>
      </c>
      <c r="D28">
        <v>205.2</v>
      </c>
      <c r="E28">
        <v>173.9</v>
      </c>
      <c r="F28">
        <v>177</v>
      </c>
      <c r="G28">
        <v>183.3</v>
      </c>
      <c r="H28">
        <v>167.2</v>
      </c>
      <c r="I28">
        <v>140.9</v>
      </c>
      <c r="J28">
        <v>170.5</v>
      </c>
      <c r="K28">
        <v>119.1</v>
      </c>
      <c r="L28">
        <v>212.1</v>
      </c>
      <c r="M28">
        <v>177.6</v>
      </c>
      <c r="N28">
        <v>189.9</v>
      </c>
      <c r="O28">
        <v>174.8</v>
      </c>
      <c r="P28">
        <v>198.4</v>
      </c>
      <c r="Q28">
        <v>190</v>
      </c>
      <c r="R28">
        <v>187</v>
      </c>
      <c r="S28">
        <v>189.6</v>
      </c>
      <c r="T28" s="2">
        <v>173.5</v>
      </c>
      <c r="U28">
        <v>181.4</v>
      </c>
      <c r="V28">
        <v>178.6</v>
      </c>
      <c r="W28">
        <v>186.6</v>
      </c>
      <c r="X28">
        <v>180.7</v>
      </c>
      <c r="Y28">
        <v>178.5</v>
      </c>
      <c r="Z28">
        <v>172.8</v>
      </c>
      <c r="AA28">
        <v>169</v>
      </c>
      <c r="AB28">
        <v>177.9</v>
      </c>
    </row>
    <row r="29" spans="1:28" x14ac:dyDescent="0.3">
      <c r="A29" s="23">
        <v>45017</v>
      </c>
      <c r="B29" s="18">
        <v>83.755358416666667</v>
      </c>
      <c r="C29">
        <v>173.3</v>
      </c>
      <c r="D29">
        <v>206.9</v>
      </c>
      <c r="E29">
        <v>167.9</v>
      </c>
      <c r="F29">
        <v>178.2</v>
      </c>
      <c r="G29">
        <v>178.5</v>
      </c>
      <c r="H29">
        <v>173.7</v>
      </c>
      <c r="I29">
        <v>142.80000000000001</v>
      </c>
      <c r="J29">
        <v>172.8</v>
      </c>
      <c r="K29">
        <v>120.4</v>
      </c>
      <c r="L29">
        <v>215.5</v>
      </c>
      <c r="M29">
        <v>178.2</v>
      </c>
      <c r="N29">
        <v>190.5</v>
      </c>
      <c r="O29">
        <v>175.5</v>
      </c>
      <c r="P29">
        <v>199.5</v>
      </c>
      <c r="Q29">
        <v>190.7</v>
      </c>
      <c r="R29">
        <v>187.3</v>
      </c>
      <c r="S29">
        <v>190.2</v>
      </c>
      <c r="T29" s="2">
        <v>175.2</v>
      </c>
      <c r="U29">
        <v>181.5</v>
      </c>
      <c r="V29">
        <v>179.1</v>
      </c>
      <c r="W29">
        <v>187.2</v>
      </c>
      <c r="X29">
        <v>183.8</v>
      </c>
      <c r="Y29">
        <v>179.4</v>
      </c>
      <c r="Z29">
        <v>173.2</v>
      </c>
      <c r="AA29">
        <v>169.4</v>
      </c>
      <c r="AB29">
        <v>178.9</v>
      </c>
    </row>
    <row r="30" spans="1:28" x14ac:dyDescent="0.3">
      <c r="A30" s="23">
        <v>45047</v>
      </c>
      <c r="B30">
        <v>74.981547824999993</v>
      </c>
      <c r="C30">
        <v>173.2</v>
      </c>
      <c r="D30">
        <v>211.5</v>
      </c>
      <c r="E30">
        <v>171</v>
      </c>
      <c r="F30">
        <v>179.6</v>
      </c>
      <c r="G30">
        <v>173.3</v>
      </c>
      <c r="H30">
        <v>169</v>
      </c>
      <c r="I30">
        <v>148.69999999999999</v>
      </c>
      <c r="J30">
        <v>174.9</v>
      </c>
      <c r="K30">
        <v>121.9</v>
      </c>
      <c r="L30">
        <v>221</v>
      </c>
      <c r="M30">
        <v>178.7</v>
      </c>
      <c r="N30">
        <v>191.1</v>
      </c>
      <c r="O30">
        <v>176.8</v>
      </c>
      <c r="P30">
        <v>199.9</v>
      </c>
      <c r="Q30">
        <v>191.2</v>
      </c>
      <c r="R30">
        <v>187.9</v>
      </c>
      <c r="S30">
        <v>190.8</v>
      </c>
      <c r="T30" s="2">
        <v>175.6</v>
      </c>
      <c r="U30">
        <v>182.5</v>
      </c>
      <c r="V30">
        <v>179.8</v>
      </c>
      <c r="W30">
        <v>187.8</v>
      </c>
      <c r="X30">
        <v>184.9</v>
      </c>
      <c r="Y30">
        <v>180.3</v>
      </c>
      <c r="Z30">
        <v>173.8</v>
      </c>
      <c r="AA30">
        <v>169.7</v>
      </c>
      <c r="AB30">
        <v>179.5</v>
      </c>
    </row>
    <row r="32" spans="1:28" ht="15.6" x14ac:dyDescent="0.3">
      <c r="A32" s="17" t="s">
        <v>133</v>
      </c>
      <c r="B32" s="17"/>
      <c r="C32" s="57">
        <f>CORREL($B$5:$B$30,C5:C30)</f>
        <v>9.517783971742598E-2</v>
      </c>
      <c r="D32" s="57">
        <f>CORREL($B$5:$B$30,D5:D30)</f>
        <v>0.67992492423857931</v>
      </c>
      <c r="E32" s="57">
        <f t="shared" ref="E32:AB32" si="0">CORREL($B$5:$B$30,E5:E30)</f>
        <v>-0.32345910218262292</v>
      </c>
      <c r="F32" s="57">
        <f t="shared" si="0"/>
        <v>0.1843566445832085</v>
      </c>
      <c r="G32" s="57">
        <f>CORREL($B$5:$B$30,G5:G30)</f>
        <v>0.73976511931188638</v>
      </c>
      <c r="H32" s="57">
        <f t="shared" si="0"/>
        <v>0.33889935671978894</v>
      </c>
      <c r="I32" s="57">
        <f t="shared" si="0"/>
        <v>0.42619217967286926</v>
      </c>
      <c r="J32" s="57">
        <f t="shared" si="0"/>
        <v>-5.3420409199749601E-2</v>
      </c>
      <c r="K32" s="57">
        <f t="shared" si="0"/>
        <v>0.32291520156712294</v>
      </c>
      <c r="L32" s="57">
        <f t="shared" si="0"/>
        <v>0.18137325821539677</v>
      </c>
      <c r="M32" s="57">
        <f t="shared" si="0"/>
        <v>0.40587295569384702</v>
      </c>
      <c r="N32" s="57">
        <f t="shared" si="0"/>
        <v>0.30819824254880357</v>
      </c>
      <c r="O32" s="57">
        <f t="shared" si="0"/>
        <v>0.42284747791897515</v>
      </c>
      <c r="P32" s="57">
        <f t="shared" si="0"/>
        <v>0.1840823165563058</v>
      </c>
      <c r="Q32" s="57">
        <f t="shared" si="0"/>
        <v>0.35039561873965208</v>
      </c>
      <c r="R32" s="57">
        <f t="shared" si="0"/>
        <v>0.40988870997765542</v>
      </c>
      <c r="S32" s="57">
        <f t="shared" si="0"/>
        <v>0.3593037776494043</v>
      </c>
      <c r="T32" s="57">
        <f t="shared" si="0"/>
        <v>0.23713189120949721</v>
      </c>
      <c r="U32" s="57">
        <f t="shared" si="0"/>
        <v>0.40977216366097546</v>
      </c>
      <c r="V32" s="57">
        <f t="shared" si="0"/>
        <v>0.30660101768569331</v>
      </c>
      <c r="W32" s="57">
        <f t="shared" si="0"/>
        <v>0.27660394713950975</v>
      </c>
      <c r="X32" s="57">
        <f t="shared" si="0"/>
        <v>0.23533617512180396</v>
      </c>
      <c r="Y32" s="57">
        <f t="shared" si="0"/>
        <v>0.24735977404230397</v>
      </c>
      <c r="Z32" s="57">
        <f t="shared" si="0"/>
        <v>0.37275750177507344</v>
      </c>
      <c r="AA32" s="57">
        <f t="shared" si="0"/>
        <v>0.49646430328725349</v>
      </c>
      <c r="AB32" s="57">
        <f t="shared" si="0"/>
        <v>0.33466632734967688</v>
      </c>
    </row>
    <row r="35" spans="1:28" ht="18" x14ac:dyDescent="0.35">
      <c r="A35" s="91" t="s">
        <v>131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row>
    <row r="37" spans="1:28" x14ac:dyDescent="0.3">
      <c r="A37" s="1" t="s">
        <v>67</v>
      </c>
      <c r="B37" s="44" t="s">
        <v>68</v>
      </c>
      <c r="C37" s="1" t="s">
        <v>3</v>
      </c>
      <c r="D37" s="1" t="s">
        <v>4</v>
      </c>
      <c r="E37" s="1" t="s">
        <v>5</v>
      </c>
      <c r="F37" s="1" t="s">
        <v>6</v>
      </c>
      <c r="G37" s="1" t="s">
        <v>7</v>
      </c>
      <c r="H37" s="1" t="s">
        <v>8</v>
      </c>
      <c r="I37" s="1" t="s">
        <v>9</v>
      </c>
      <c r="J37" s="1" t="s">
        <v>10</v>
      </c>
      <c r="K37" s="1" t="s">
        <v>11</v>
      </c>
      <c r="L37" s="1" t="s">
        <v>12</v>
      </c>
      <c r="M37" s="1" t="s">
        <v>47</v>
      </c>
      <c r="N37" s="1" t="s">
        <v>45</v>
      </c>
      <c r="O37" s="1" t="s">
        <v>13</v>
      </c>
      <c r="P37" s="1" t="s">
        <v>14</v>
      </c>
      <c r="Q37" s="1" t="s">
        <v>15</v>
      </c>
      <c r="R37" s="1" t="s">
        <v>16</v>
      </c>
      <c r="S37" s="1" t="s">
        <v>17</v>
      </c>
      <c r="T37" s="1" t="s">
        <v>18</v>
      </c>
      <c r="U37" s="1" t="s">
        <v>19</v>
      </c>
      <c r="V37" s="1" t="s">
        <v>20</v>
      </c>
      <c r="W37" s="1" t="s">
        <v>21</v>
      </c>
      <c r="X37" s="1" t="s">
        <v>46</v>
      </c>
      <c r="Y37" s="1" t="s">
        <v>24</v>
      </c>
      <c r="Z37" s="1" t="s">
        <v>23</v>
      </c>
      <c r="AA37" s="1" t="s">
        <v>22</v>
      </c>
      <c r="AB37" s="1" t="s">
        <v>25</v>
      </c>
    </row>
    <row r="38" spans="1:28" x14ac:dyDescent="0.3">
      <c r="A38" s="23">
        <v>44287</v>
      </c>
      <c r="B38" s="18">
        <v>63.396976500000008</v>
      </c>
      <c r="C38">
        <v>147.6</v>
      </c>
      <c r="D38">
        <v>202.5</v>
      </c>
      <c r="E38">
        <v>166.4</v>
      </c>
      <c r="F38">
        <v>156</v>
      </c>
      <c r="G38">
        <v>161.4</v>
      </c>
      <c r="H38">
        <v>168.8</v>
      </c>
      <c r="I38">
        <v>161.6</v>
      </c>
      <c r="J38">
        <v>162.80000000000001</v>
      </c>
      <c r="K38">
        <v>114.8</v>
      </c>
      <c r="L38">
        <v>162.80000000000001</v>
      </c>
      <c r="M38">
        <v>151.5</v>
      </c>
      <c r="N38">
        <v>171.4</v>
      </c>
      <c r="O38">
        <v>162</v>
      </c>
      <c r="P38">
        <v>194.4</v>
      </c>
      <c r="Q38">
        <v>155.9</v>
      </c>
      <c r="R38">
        <v>139.30000000000001</v>
      </c>
      <c r="S38">
        <v>153.4</v>
      </c>
      <c r="T38">
        <v>161.4</v>
      </c>
      <c r="U38">
        <v>154.9</v>
      </c>
      <c r="V38">
        <v>147.6</v>
      </c>
      <c r="W38">
        <v>157.5</v>
      </c>
      <c r="X38">
        <v>156.6</v>
      </c>
      <c r="Y38">
        <v>157.6</v>
      </c>
      <c r="Z38">
        <v>149.1</v>
      </c>
      <c r="AA38">
        <v>142.1</v>
      </c>
      <c r="AB38">
        <v>150.5</v>
      </c>
    </row>
    <row r="39" spans="1:28" x14ac:dyDescent="0.3">
      <c r="A39" s="23">
        <v>44317</v>
      </c>
      <c r="B39" s="18">
        <v>66.953084852941174</v>
      </c>
      <c r="C39">
        <v>148.80000000000001</v>
      </c>
      <c r="D39">
        <v>204.3</v>
      </c>
      <c r="E39">
        <v>173</v>
      </c>
      <c r="F39">
        <v>156.5</v>
      </c>
      <c r="G39">
        <v>168.8</v>
      </c>
      <c r="H39">
        <v>172.5</v>
      </c>
      <c r="I39">
        <v>166.5</v>
      </c>
      <c r="J39">
        <v>165.9</v>
      </c>
      <c r="K39">
        <v>115.9</v>
      </c>
      <c r="L39">
        <v>165.2</v>
      </c>
      <c r="M39">
        <v>152</v>
      </c>
      <c r="N39">
        <v>171.1</v>
      </c>
      <c r="O39">
        <v>164.2</v>
      </c>
      <c r="P39">
        <v>198.2</v>
      </c>
      <c r="Q39">
        <v>156.5</v>
      </c>
      <c r="R39">
        <v>140.19999999999999</v>
      </c>
      <c r="S39">
        <v>154.1</v>
      </c>
      <c r="T39">
        <v>161.6</v>
      </c>
      <c r="U39">
        <v>155.5</v>
      </c>
      <c r="V39">
        <v>150.1</v>
      </c>
      <c r="W39">
        <v>160.4</v>
      </c>
      <c r="X39">
        <v>157.5</v>
      </c>
      <c r="Y39">
        <v>156.6</v>
      </c>
      <c r="Z39">
        <v>152.6</v>
      </c>
      <c r="AA39">
        <v>145</v>
      </c>
      <c r="AB39">
        <v>152.30000000000001</v>
      </c>
    </row>
    <row r="40" spans="1:28" x14ac:dyDescent="0.3">
      <c r="A40" s="23">
        <v>44348</v>
      </c>
      <c r="B40" s="18">
        <v>71.982647477272721</v>
      </c>
      <c r="C40">
        <v>149.19999999999999</v>
      </c>
      <c r="D40">
        <v>205.5</v>
      </c>
      <c r="E40">
        <v>182.8</v>
      </c>
      <c r="F40">
        <v>156.5</v>
      </c>
      <c r="G40">
        <v>172.2</v>
      </c>
      <c r="H40">
        <v>171.5</v>
      </c>
      <c r="I40">
        <v>176.2</v>
      </c>
      <c r="J40">
        <v>166.9</v>
      </c>
      <c r="K40">
        <v>116.1</v>
      </c>
      <c r="L40">
        <v>165.5</v>
      </c>
      <c r="M40">
        <v>152.30000000000001</v>
      </c>
      <c r="N40">
        <v>173.3</v>
      </c>
      <c r="O40">
        <v>166.2</v>
      </c>
      <c r="P40">
        <v>195.6</v>
      </c>
      <c r="Q40">
        <v>157.30000000000001</v>
      </c>
      <c r="R40">
        <v>140.5</v>
      </c>
      <c r="S40">
        <v>154.80000000000001</v>
      </c>
      <c r="T40">
        <v>160.5</v>
      </c>
      <c r="U40">
        <v>156.1</v>
      </c>
      <c r="V40">
        <v>149.80000000000001</v>
      </c>
      <c r="W40">
        <v>160.80000000000001</v>
      </c>
      <c r="X40">
        <v>158</v>
      </c>
      <c r="Y40">
        <v>158.1</v>
      </c>
      <c r="Z40">
        <v>150.69999999999999</v>
      </c>
      <c r="AA40">
        <v>147.5</v>
      </c>
      <c r="AB40">
        <v>153.4</v>
      </c>
    </row>
    <row r="41" spans="1:28" x14ac:dyDescent="0.3">
      <c r="A41" s="23">
        <v>44378</v>
      </c>
      <c r="B41" s="18">
        <v>73.539060523809511</v>
      </c>
      <c r="C41">
        <v>149.1</v>
      </c>
      <c r="D41">
        <v>210.9</v>
      </c>
      <c r="E41">
        <v>185</v>
      </c>
      <c r="F41">
        <v>158.19999999999999</v>
      </c>
      <c r="G41">
        <v>170.6</v>
      </c>
      <c r="H41">
        <v>170.9</v>
      </c>
      <c r="I41">
        <v>186.4</v>
      </c>
      <c r="J41">
        <v>164.7</v>
      </c>
      <c r="K41">
        <v>115.7</v>
      </c>
      <c r="L41">
        <v>165.5</v>
      </c>
      <c r="M41">
        <v>153.4</v>
      </c>
      <c r="N41">
        <v>173.5</v>
      </c>
      <c r="O41">
        <v>167.9</v>
      </c>
      <c r="P41">
        <v>195.5</v>
      </c>
      <c r="Q41">
        <v>157.9</v>
      </c>
      <c r="R41">
        <v>141.9</v>
      </c>
      <c r="S41">
        <v>155.5</v>
      </c>
      <c r="T41">
        <v>161.5</v>
      </c>
      <c r="U41">
        <v>157.69999999999999</v>
      </c>
      <c r="V41">
        <v>150.69999999999999</v>
      </c>
      <c r="W41">
        <v>161.5</v>
      </c>
      <c r="X41">
        <v>159.6</v>
      </c>
      <c r="Y41">
        <v>160.30000000000001</v>
      </c>
      <c r="Z41">
        <v>151.19999999999999</v>
      </c>
      <c r="AA41">
        <v>149.5</v>
      </c>
      <c r="AB41">
        <v>155</v>
      </c>
    </row>
    <row r="42" spans="1:28" x14ac:dyDescent="0.3">
      <c r="A42" s="23">
        <v>44409</v>
      </c>
      <c r="B42" s="18">
        <v>69.804724424999989</v>
      </c>
      <c r="C42">
        <v>149.30000000000001</v>
      </c>
      <c r="D42">
        <v>207.4</v>
      </c>
      <c r="E42">
        <v>174.1</v>
      </c>
      <c r="F42">
        <v>159.19999999999999</v>
      </c>
      <c r="G42">
        <v>175</v>
      </c>
      <c r="H42">
        <v>161.30000000000001</v>
      </c>
      <c r="I42">
        <v>183.3</v>
      </c>
      <c r="J42">
        <v>164.5</v>
      </c>
      <c r="K42">
        <v>120.4</v>
      </c>
      <c r="L42">
        <v>166.2</v>
      </c>
      <c r="M42">
        <v>154.80000000000001</v>
      </c>
      <c r="N42">
        <v>175.1</v>
      </c>
      <c r="O42">
        <v>167.3</v>
      </c>
      <c r="P42">
        <v>196.5</v>
      </c>
      <c r="Q42">
        <v>159.80000000000001</v>
      </c>
      <c r="R42">
        <v>143.6</v>
      </c>
      <c r="S42">
        <v>157.30000000000001</v>
      </c>
      <c r="T42">
        <v>162.1</v>
      </c>
      <c r="U42">
        <v>160.69999999999999</v>
      </c>
      <c r="V42">
        <v>153.19999999999999</v>
      </c>
      <c r="W42">
        <v>162.80000000000001</v>
      </c>
      <c r="X42">
        <v>159.6</v>
      </c>
      <c r="Y42">
        <v>160.4</v>
      </c>
      <c r="Z42">
        <v>153.69999999999999</v>
      </c>
      <c r="AA42">
        <v>150.4</v>
      </c>
      <c r="AB42">
        <v>156</v>
      </c>
    </row>
    <row r="43" spans="1:28" x14ac:dyDescent="0.3">
      <c r="A43" s="23">
        <v>44440</v>
      </c>
      <c r="B43" s="18">
        <v>73.130738295454549</v>
      </c>
      <c r="C43">
        <v>149.30000000000001</v>
      </c>
      <c r="D43">
        <v>207.4</v>
      </c>
      <c r="E43">
        <v>174.1</v>
      </c>
      <c r="F43">
        <v>159.1</v>
      </c>
      <c r="G43">
        <v>175</v>
      </c>
      <c r="H43">
        <v>161.19999999999999</v>
      </c>
      <c r="I43">
        <v>183.5</v>
      </c>
      <c r="J43">
        <v>164.5</v>
      </c>
      <c r="K43">
        <v>120.4</v>
      </c>
      <c r="L43">
        <v>166.2</v>
      </c>
      <c r="M43">
        <v>154.80000000000001</v>
      </c>
      <c r="N43">
        <v>175.1</v>
      </c>
      <c r="O43">
        <v>167.3</v>
      </c>
      <c r="P43">
        <v>196.5</v>
      </c>
      <c r="Q43">
        <v>159.80000000000001</v>
      </c>
      <c r="R43">
        <v>143.6</v>
      </c>
      <c r="S43">
        <v>157.4</v>
      </c>
      <c r="T43">
        <v>162.1</v>
      </c>
      <c r="U43">
        <v>160.80000000000001</v>
      </c>
      <c r="V43">
        <v>153.30000000000001</v>
      </c>
      <c r="W43">
        <v>162.80000000000001</v>
      </c>
      <c r="X43">
        <v>159.6</v>
      </c>
      <c r="Y43">
        <v>160.30000000000001</v>
      </c>
      <c r="Z43">
        <v>153.9</v>
      </c>
      <c r="AA43">
        <v>150.5</v>
      </c>
      <c r="AB43">
        <v>156</v>
      </c>
    </row>
    <row r="44" spans="1:28" x14ac:dyDescent="0.3">
      <c r="A44" s="23">
        <v>44470</v>
      </c>
      <c r="B44" s="18">
        <v>82.107393785714294</v>
      </c>
      <c r="C44">
        <v>150.1</v>
      </c>
      <c r="D44">
        <v>208.4</v>
      </c>
      <c r="E44">
        <v>173</v>
      </c>
      <c r="F44">
        <v>159.19999999999999</v>
      </c>
      <c r="G44">
        <v>176.6</v>
      </c>
      <c r="H44">
        <v>159.30000000000001</v>
      </c>
      <c r="I44">
        <v>214.4</v>
      </c>
      <c r="J44">
        <v>165.3</v>
      </c>
      <c r="K44">
        <v>122.5</v>
      </c>
      <c r="L44">
        <v>166.8</v>
      </c>
      <c r="M44">
        <v>155.4</v>
      </c>
      <c r="N44">
        <v>175.9</v>
      </c>
      <c r="O44">
        <v>171.5</v>
      </c>
      <c r="P44">
        <v>197</v>
      </c>
      <c r="Q44">
        <v>160.80000000000001</v>
      </c>
      <c r="R44">
        <v>144.4</v>
      </c>
      <c r="S44">
        <v>158.30000000000001</v>
      </c>
      <c r="T44">
        <v>163.6</v>
      </c>
      <c r="U44">
        <v>162.19999999999999</v>
      </c>
      <c r="V44">
        <v>154.30000000000001</v>
      </c>
      <c r="W44">
        <v>163.5</v>
      </c>
      <c r="X44">
        <v>160.30000000000001</v>
      </c>
      <c r="Y44">
        <v>160.30000000000001</v>
      </c>
      <c r="Z44">
        <v>155.1</v>
      </c>
      <c r="AA44">
        <v>152.19999999999999</v>
      </c>
      <c r="AB44">
        <v>157</v>
      </c>
    </row>
    <row r="45" spans="1:28" x14ac:dyDescent="0.3">
      <c r="A45" s="23">
        <v>44501</v>
      </c>
      <c r="B45" s="18">
        <v>80.637301023809528</v>
      </c>
      <c r="C45">
        <v>151</v>
      </c>
      <c r="D45">
        <v>204.9</v>
      </c>
      <c r="E45">
        <v>175.4</v>
      </c>
      <c r="F45">
        <v>159.6</v>
      </c>
      <c r="G45">
        <v>175.8</v>
      </c>
      <c r="H45">
        <v>160.30000000000001</v>
      </c>
      <c r="I45">
        <v>229.1</v>
      </c>
      <c r="J45">
        <v>165.1</v>
      </c>
      <c r="K45">
        <v>123.1</v>
      </c>
      <c r="L45">
        <v>167.2</v>
      </c>
      <c r="M45">
        <v>156.1</v>
      </c>
      <c r="N45">
        <v>176.8</v>
      </c>
      <c r="O45">
        <v>173.5</v>
      </c>
      <c r="P45">
        <v>197</v>
      </c>
      <c r="Q45">
        <v>162.30000000000001</v>
      </c>
      <c r="R45">
        <v>145.30000000000001</v>
      </c>
      <c r="S45">
        <v>159.69999999999999</v>
      </c>
      <c r="T45">
        <v>164.2</v>
      </c>
      <c r="U45">
        <v>161.6</v>
      </c>
      <c r="V45">
        <v>155.19999999999999</v>
      </c>
      <c r="W45">
        <v>164.2</v>
      </c>
      <c r="X45">
        <v>161.80000000000001</v>
      </c>
      <c r="Y45">
        <v>160.80000000000001</v>
      </c>
      <c r="Z45">
        <v>156.69999999999999</v>
      </c>
      <c r="AA45">
        <v>151.19999999999999</v>
      </c>
      <c r="AB45">
        <v>157.30000000000001</v>
      </c>
    </row>
    <row r="46" spans="1:28" x14ac:dyDescent="0.3">
      <c r="A46" s="23">
        <v>44531</v>
      </c>
      <c r="B46" s="18">
        <v>73.298823523809531</v>
      </c>
      <c r="C46">
        <v>151.6</v>
      </c>
      <c r="D46">
        <v>202.2</v>
      </c>
      <c r="E46">
        <v>180</v>
      </c>
      <c r="F46">
        <v>160</v>
      </c>
      <c r="G46">
        <v>173.5</v>
      </c>
      <c r="H46">
        <v>158.30000000000001</v>
      </c>
      <c r="I46">
        <v>219.5</v>
      </c>
      <c r="J46">
        <v>164.2</v>
      </c>
      <c r="K46">
        <v>121.9</v>
      </c>
      <c r="L46">
        <v>168.2</v>
      </c>
      <c r="M46">
        <v>156.5</v>
      </c>
      <c r="N46">
        <v>178.2</v>
      </c>
      <c r="O46">
        <v>172.2</v>
      </c>
      <c r="P46">
        <v>196.8</v>
      </c>
      <c r="Q46">
        <v>163.30000000000001</v>
      </c>
      <c r="R46">
        <v>146.69999999999999</v>
      </c>
      <c r="S46">
        <v>160.69999999999999</v>
      </c>
      <c r="T46">
        <v>163.4</v>
      </c>
      <c r="U46">
        <v>161.69999999999999</v>
      </c>
      <c r="V46">
        <v>156</v>
      </c>
      <c r="W46">
        <v>165.1</v>
      </c>
      <c r="X46">
        <v>162.4</v>
      </c>
      <c r="Y46">
        <v>160.6</v>
      </c>
      <c r="Z46">
        <v>157.6</v>
      </c>
      <c r="AA46">
        <v>151.80000000000001</v>
      </c>
      <c r="AB46">
        <v>157.80000000000001</v>
      </c>
    </row>
    <row r="47" spans="1:28" x14ac:dyDescent="0.3">
      <c r="A47" s="23">
        <v>44562</v>
      </c>
      <c r="B47" s="18">
        <v>84.666318799999985</v>
      </c>
      <c r="C47">
        <v>152.19999999999999</v>
      </c>
      <c r="D47">
        <v>202.1</v>
      </c>
      <c r="E47">
        <v>180.1</v>
      </c>
      <c r="F47">
        <v>160.4</v>
      </c>
      <c r="G47">
        <v>171</v>
      </c>
      <c r="H47">
        <v>156.5</v>
      </c>
      <c r="I47">
        <v>203.6</v>
      </c>
      <c r="J47">
        <v>163.80000000000001</v>
      </c>
      <c r="K47">
        <v>121.3</v>
      </c>
      <c r="L47">
        <v>169.8</v>
      </c>
      <c r="M47">
        <v>156.6</v>
      </c>
      <c r="N47">
        <v>179</v>
      </c>
      <c r="O47">
        <v>170.3</v>
      </c>
      <c r="P47">
        <v>196.4</v>
      </c>
      <c r="Q47">
        <v>164.7</v>
      </c>
      <c r="R47">
        <v>148.5</v>
      </c>
      <c r="S47">
        <v>162.19999999999999</v>
      </c>
      <c r="T47">
        <v>164.5</v>
      </c>
      <c r="U47">
        <v>161.6</v>
      </c>
      <c r="V47">
        <v>156.80000000000001</v>
      </c>
      <c r="W47">
        <v>166.1</v>
      </c>
      <c r="X47">
        <v>162.80000000000001</v>
      </c>
      <c r="Y47">
        <v>161</v>
      </c>
      <c r="Z47">
        <v>158.4</v>
      </c>
      <c r="AA47">
        <v>152.69999999999999</v>
      </c>
      <c r="AB47">
        <v>158.6</v>
      </c>
    </row>
    <row r="48" spans="1:28" x14ac:dyDescent="0.3">
      <c r="A48" s="23">
        <v>44593</v>
      </c>
      <c r="B48" s="18">
        <v>94.067715194444446</v>
      </c>
      <c r="C48">
        <v>152.5</v>
      </c>
      <c r="D48">
        <v>205.2</v>
      </c>
      <c r="E48">
        <v>176.4</v>
      </c>
      <c r="F48">
        <v>160.6</v>
      </c>
      <c r="G48">
        <v>171.5</v>
      </c>
      <c r="H48">
        <v>156.4</v>
      </c>
      <c r="I48">
        <v>198</v>
      </c>
      <c r="J48">
        <v>163.19999999999999</v>
      </c>
      <c r="K48">
        <v>120.6</v>
      </c>
      <c r="L48">
        <v>172.2</v>
      </c>
      <c r="M48">
        <v>156.69999999999999</v>
      </c>
      <c r="N48">
        <v>180</v>
      </c>
      <c r="O48">
        <v>170.2</v>
      </c>
      <c r="P48">
        <v>196.5</v>
      </c>
      <c r="Q48">
        <v>165.7</v>
      </c>
      <c r="R48">
        <v>150.4</v>
      </c>
      <c r="S48">
        <v>163.4</v>
      </c>
      <c r="T48">
        <v>165.5</v>
      </c>
      <c r="U48">
        <v>163</v>
      </c>
      <c r="V48">
        <v>157.4</v>
      </c>
      <c r="W48">
        <v>167.2</v>
      </c>
      <c r="X48">
        <v>164.2</v>
      </c>
      <c r="Y48">
        <v>162</v>
      </c>
      <c r="Z48">
        <v>159.5</v>
      </c>
      <c r="AA48">
        <v>153.1</v>
      </c>
      <c r="AB48">
        <v>159.4</v>
      </c>
    </row>
    <row r="49" spans="1:28" x14ac:dyDescent="0.3">
      <c r="A49" s="23">
        <v>44621</v>
      </c>
      <c r="B49" s="18">
        <v>112.87479254347826</v>
      </c>
      <c r="C49">
        <v>153.69999999999999</v>
      </c>
      <c r="D49">
        <v>215.8</v>
      </c>
      <c r="E49">
        <v>167.7</v>
      </c>
      <c r="F49">
        <v>162.6</v>
      </c>
      <c r="G49">
        <v>180</v>
      </c>
      <c r="H49">
        <v>159.6</v>
      </c>
      <c r="I49">
        <v>188.4</v>
      </c>
      <c r="J49">
        <v>163.4</v>
      </c>
      <c r="K49">
        <v>120.3</v>
      </c>
      <c r="L49">
        <v>174.7</v>
      </c>
      <c r="M49">
        <v>157.1</v>
      </c>
      <c r="N49">
        <v>181.5</v>
      </c>
      <c r="O49">
        <v>171.5</v>
      </c>
      <c r="P49">
        <v>197.5</v>
      </c>
      <c r="Q49">
        <v>167.1</v>
      </c>
      <c r="R49">
        <v>152.6</v>
      </c>
      <c r="S49">
        <v>164.9</v>
      </c>
      <c r="T49">
        <v>165.3</v>
      </c>
      <c r="U49">
        <v>164.5</v>
      </c>
      <c r="V49">
        <v>158.6</v>
      </c>
      <c r="W49">
        <v>168.2</v>
      </c>
      <c r="X49">
        <v>166.8</v>
      </c>
      <c r="Y49">
        <v>162.69999999999999</v>
      </c>
      <c r="Z49">
        <v>160.80000000000001</v>
      </c>
      <c r="AA49">
        <v>154.19999999999999</v>
      </c>
      <c r="AB49">
        <v>160.6</v>
      </c>
    </row>
    <row r="50" spans="1:28" x14ac:dyDescent="0.3">
      <c r="A50" s="23">
        <v>44652</v>
      </c>
      <c r="B50" s="18">
        <v>102.96599786842103</v>
      </c>
      <c r="C50">
        <v>155.4</v>
      </c>
      <c r="D50">
        <v>215.8</v>
      </c>
      <c r="E50">
        <v>164.6</v>
      </c>
      <c r="F50">
        <v>164.2</v>
      </c>
      <c r="G50">
        <v>186</v>
      </c>
      <c r="H50">
        <v>175.9</v>
      </c>
      <c r="I50">
        <v>190.7</v>
      </c>
      <c r="J50">
        <v>164</v>
      </c>
      <c r="K50">
        <v>120.5</v>
      </c>
      <c r="L50">
        <v>178</v>
      </c>
      <c r="M50">
        <v>157.5</v>
      </c>
      <c r="N50">
        <v>183.3</v>
      </c>
      <c r="O50">
        <v>174.5</v>
      </c>
      <c r="P50">
        <v>197.1</v>
      </c>
      <c r="Q50">
        <v>168.4</v>
      </c>
      <c r="R50">
        <v>154.5</v>
      </c>
      <c r="S50">
        <v>166.3</v>
      </c>
      <c r="T50">
        <v>167</v>
      </c>
      <c r="U50">
        <v>170.5</v>
      </c>
      <c r="V50">
        <v>159.80000000000001</v>
      </c>
      <c r="W50">
        <v>169</v>
      </c>
      <c r="X50">
        <v>168.4</v>
      </c>
      <c r="Y50">
        <v>164</v>
      </c>
      <c r="Z50">
        <v>162.19999999999999</v>
      </c>
      <c r="AA50">
        <v>159.30000000000001</v>
      </c>
      <c r="AB50">
        <v>163.1</v>
      </c>
    </row>
    <row r="51" spans="1:28" x14ac:dyDescent="0.3">
      <c r="A51" s="23">
        <v>44682</v>
      </c>
      <c r="B51" s="18">
        <v>109.50503773684208</v>
      </c>
      <c r="C51">
        <v>156.69999999999999</v>
      </c>
      <c r="D51">
        <v>221.2</v>
      </c>
      <c r="E51">
        <v>164.1</v>
      </c>
      <c r="F51">
        <v>165.4</v>
      </c>
      <c r="G51">
        <v>189.5</v>
      </c>
      <c r="H51">
        <v>174.5</v>
      </c>
      <c r="I51">
        <v>203.2</v>
      </c>
      <c r="J51">
        <v>164.1</v>
      </c>
      <c r="K51">
        <v>121.2</v>
      </c>
      <c r="L51">
        <v>181.4</v>
      </c>
      <c r="M51">
        <v>158.5</v>
      </c>
      <c r="N51">
        <v>184.9</v>
      </c>
      <c r="O51">
        <v>177.5</v>
      </c>
      <c r="P51">
        <v>197.5</v>
      </c>
      <c r="Q51">
        <v>170</v>
      </c>
      <c r="R51">
        <v>155.9</v>
      </c>
      <c r="S51">
        <v>167.8</v>
      </c>
      <c r="T51">
        <v>167.5</v>
      </c>
      <c r="U51">
        <v>173.5</v>
      </c>
      <c r="V51">
        <v>161.1</v>
      </c>
      <c r="W51">
        <v>170.1</v>
      </c>
      <c r="X51">
        <v>168.2</v>
      </c>
      <c r="Y51">
        <v>165.2</v>
      </c>
      <c r="Z51">
        <v>163.19999999999999</v>
      </c>
      <c r="AA51">
        <v>159.4</v>
      </c>
      <c r="AB51">
        <v>163.80000000000001</v>
      </c>
    </row>
    <row r="52" spans="1:28" x14ac:dyDescent="0.3">
      <c r="A52" s="23">
        <v>44713</v>
      </c>
      <c r="B52" s="18">
        <v>116.01138504999999</v>
      </c>
      <c r="C52">
        <v>157.5</v>
      </c>
      <c r="D52">
        <v>223.4</v>
      </c>
      <c r="E52">
        <v>172.8</v>
      </c>
      <c r="F52">
        <v>166.4</v>
      </c>
      <c r="G52">
        <v>188.6</v>
      </c>
      <c r="H52">
        <v>174.1</v>
      </c>
      <c r="I52">
        <v>211.5</v>
      </c>
      <c r="J52">
        <v>163.6</v>
      </c>
      <c r="K52">
        <v>121.4</v>
      </c>
      <c r="L52">
        <v>183.5</v>
      </c>
      <c r="M52">
        <v>159.1</v>
      </c>
      <c r="N52">
        <v>186.3</v>
      </c>
      <c r="O52">
        <v>179.3</v>
      </c>
      <c r="P52">
        <v>198.3</v>
      </c>
      <c r="Q52">
        <v>171.6</v>
      </c>
      <c r="R52">
        <v>157.4</v>
      </c>
      <c r="S52">
        <v>169.4</v>
      </c>
      <c r="T52">
        <v>166.8</v>
      </c>
      <c r="U52">
        <v>174.9</v>
      </c>
      <c r="V52">
        <v>162.1</v>
      </c>
      <c r="W52">
        <v>170.9</v>
      </c>
      <c r="X52">
        <v>169.2</v>
      </c>
      <c r="Y52">
        <v>166.5</v>
      </c>
      <c r="Z52">
        <v>164.1</v>
      </c>
      <c r="AA52">
        <v>157.19999999999999</v>
      </c>
      <c r="AB52">
        <v>163.80000000000001</v>
      </c>
    </row>
    <row r="53" spans="1:28" x14ac:dyDescent="0.3">
      <c r="A53" s="23">
        <v>44743</v>
      </c>
      <c r="B53" s="18">
        <v>105.49124737500001</v>
      </c>
      <c r="C53">
        <v>159.30000000000001</v>
      </c>
      <c r="D53">
        <v>217.1</v>
      </c>
      <c r="E53">
        <v>176.6</v>
      </c>
      <c r="F53">
        <v>167.1</v>
      </c>
      <c r="G53">
        <v>184.8</v>
      </c>
      <c r="H53">
        <v>179.5</v>
      </c>
      <c r="I53">
        <v>208.5</v>
      </c>
      <c r="J53">
        <v>164</v>
      </c>
      <c r="K53">
        <v>121.5</v>
      </c>
      <c r="L53">
        <v>186.3</v>
      </c>
      <c r="M53">
        <v>159.80000000000001</v>
      </c>
      <c r="N53">
        <v>187.7</v>
      </c>
      <c r="O53">
        <v>179.4</v>
      </c>
      <c r="P53">
        <v>198.6</v>
      </c>
      <c r="Q53">
        <v>172.7</v>
      </c>
      <c r="R53">
        <v>158.69999999999999</v>
      </c>
      <c r="S53">
        <v>170.6</v>
      </c>
      <c r="T53">
        <v>167.8</v>
      </c>
      <c r="U53">
        <v>179.5</v>
      </c>
      <c r="V53">
        <v>163.1</v>
      </c>
      <c r="W53">
        <v>171.7</v>
      </c>
      <c r="X53">
        <v>169.8</v>
      </c>
      <c r="Y53">
        <v>169.1</v>
      </c>
      <c r="Z53">
        <v>164.6</v>
      </c>
      <c r="AA53">
        <v>157.4</v>
      </c>
      <c r="AB53">
        <v>164.7</v>
      </c>
    </row>
    <row r="54" spans="1:28" x14ac:dyDescent="0.3">
      <c r="A54" s="23">
        <v>44774</v>
      </c>
      <c r="B54" s="18">
        <v>97.404465428571427</v>
      </c>
      <c r="C54">
        <v>162.1</v>
      </c>
      <c r="D54">
        <v>210.9</v>
      </c>
      <c r="E54">
        <v>170.6</v>
      </c>
      <c r="F54">
        <v>168.4</v>
      </c>
      <c r="G54">
        <v>182.5</v>
      </c>
      <c r="H54">
        <v>177.1</v>
      </c>
      <c r="I54">
        <v>213.1</v>
      </c>
      <c r="J54">
        <v>167.3</v>
      </c>
      <c r="K54">
        <v>122.2</v>
      </c>
      <c r="L54">
        <v>189.7</v>
      </c>
      <c r="M54">
        <v>160.5</v>
      </c>
      <c r="N54">
        <v>188.9</v>
      </c>
      <c r="O54">
        <v>180.4</v>
      </c>
      <c r="P54">
        <v>198.7</v>
      </c>
      <c r="Q54">
        <v>173.7</v>
      </c>
      <c r="R54">
        <v>160</v>
      </c>
      <c r="S54">
        <v>171.6</v>
      </c>
      <c r="T54">
        <v>169</v>
      </c>
      <c r="U54">
        <v>178.4</v>
      </c>
      <c r="V54">
        <v>164.2</v>
      </c>
      <c r="W54">
        <v>172.6</v>
      </c>
      <c r="X54">
        <v>171.4</v>
      </c>
      <c r="Y54">
        <v>169.9</v>
      </c>
      <c r="Z54">
        <v>165.1</v>
      </c>
      <c r="AA54">
        <v>157.69999999999999</v>
      </c>
      <c r="AB54">
        <v>165.4</v>
      </c>
    </row>
    <row r="55" spans="1:28" x14ac:dyDescent="0.3">
      <c r="A55" s="23">
        <v>44805</v>
      </c>
      <c r="B55" s="18">
        <v>90.706344809523813</v>
      </c>
      <c r="C55">
        <v>164.9</v>
      </c>
      <c r="D55">
        <v>213.7</v>
      </c>
      <c r="E55">
        <v>170.9</v>
      </c>
      <c r="F55">
        <v>170.1</v>
      </c>
      <c r="G55">
        <v>179.3</v>
      </c>
      <c r="H55">
        <v>167.5</v>
      </c>
      <c r="I55">
        <v>220.8</v>
      </c>
      <c r="J55">
        <v>169.2</v>
      </c>
      <c r="K55">
        <v>123.1</v>
      </c>
      <c r="L55">
        <v>193.6</v>
      </c>
      <c r="M55">
        <v>161.1</v>
      </c>
      <c r="N55">
        <v>190.4</v>
      </c>
      <c r="O55">
        <v>181.8</v>
      </c>
      <c r="P55">
        <v>199.7</v>
      </c>
      <c r="Q55">
        <v>175</v>
      </c>
      <c r="R55">
        <v>161.69999999999999</v>
      </c>
      <c r="S55">
        <v>173</v>
      </c>
      <c r="T55">
        <v>169.5</v>
      </c>
      <c r="U55">
        <v>179.2</v>
      </c>
      <c r="V55">
        <v>165</v>
      </c>
      <c r="W55">
        <v>173.8</v>
      </c>
      <c r="X55">
        <v>171.1</v>
      </c>
      <c r="Y55">
        <v>170.9</v>
      </c>
      <c r="Z55">
        <v>165.8</v>
      </c>
      <c r="AA55">
        <v>158.19999999999999</v>
      </c>
      <c r="AB55">
        <v>166.1</v>
      </c>
    </row>
    <row r="56" spans="1:28" x14ac:dyDescent="0.3">
      <c r="A56" s="23">
        <v>44835</v>
      </c>
      <c r="B56" s="18">
        <v>91.698948700000003</v>
      </c>
      <c r="C56">
        <v>166.4</v>
      </c>
      <c r="D56">
        <v>214.9</v>
      </c>
      <c r="E56">
        <v>171.9</v>
      </c>
      <c r="F56">
        <v>171</v>
      </c>
      <c r="G56">
        <v>177.7</v>
      </c>
      <c r="H56">
        <v>165.7</v>
      </c>
      <c r="I56">
        <v>228.6</v>
      </c>
      <c r="J56">
        <v>169.9</v>
      </c>
      <c r="K56">
        <v>123.4</v>
      </c>
      <c r="L56">
        <v>196.4</v>
      </c>
      <c r="M56">
        <v>161.6</v>
      </c>
      <c r="N56">
        <v>191.5</v>
      </c>
      <c r="O56">
        <v>183.3</v>
      </c>
      <c r="P56">
        <v>200.1</v>
      </c>
      <c r="Q56">
        <v>175.5</v>
      </c>
      <c r="R56">
        <v>162.6</v>
      </c>
      <c r="S56">
        <v>173.6</v>
      </c>
      <c r="T56">
        <v>171.2</v>
      </c>
      <c r="U56">
        <v>180</v>
      </c>
      <c r="V56">
        <v>166</v>
      </c>
      <c r="W56">
        <v>174.7</v>
      </c>
      <c r="X56">
        <v>172.3</v>
      </c>
      <c r="Y56">
        <v>171.2</v>
      </c>
      <c r="Z56">
        <v>166.3</v>
      </c>
      <c r="AA56">
        <v>158.80000000000001</v>
      </c>
      <c r="AB56">
        <v>166.8</v>
      </c>
    </row>
    <row r="57" spans="1:28" x14ac:dyDescent="0.3">
      <c r="A57" s="23">
        <v>44866</v>
      </c>
      <c r="B57" s="18">
        <v>87.552266068181822</v>
      </c>
      <c r="C57">
        <v>168.4</v>
      </c>
      <c r="D57">
        <v>213.4</v>
      </c>
      <c r="E57">
        <v>183.2</v>
      </c>
      <c r="F57">
        <v>172.3</v>
      </c>
      <c r="G57">
        <v>180</v>
      </c>
      <c r="H57">
        <v>162.6</v>
      </c>
      <c r="I57">
        <v>205.5</v>
      </c>
      <c r="J57">
        <v>171</v>
      </c>
      <c r="K57">
        <v>123.4</v>
      </c>
      <c r="L57">
        <v>198.8</v>
      </c>
      <c r="M57">
        <v>162.1</v>
      </c>
      <c r="N57">
        <v>192.4</v>
      </c>
      <c r="O57">
        <v>181.3</v>
      </c>
      <c r="P57">
        <v>200.6</v>
      </c>
      <c r="Q57">
        <v>176.7</v>
      </c>
      <c r="R57">
        <v>163.5</v>
      </c>
      <c r="S57">
        <v>174.7</v>
      </c>
      <c r="T57">
        <v>171.8</v>
      </c>
      <c r="U57">
        <v>180.3</v>
      </c>
      <c r="V57">
        <v>166.9</v>
      </c>
      <c r="W57">
        <v>175.8</v>
      </c>
      <c r="X57">
        <v>173.8</v>
      </c>
      <c r="Y57">
        <v>171.5</v>
      </c>
      <c r="Z57">
        <v>166.7</v>
      </c>
      <c r="AA57">
        <v>158.9</v>
      </c>
      <c r="AB57">
        <v>167.4</v>
      </c>
    </row>
    <row r="58" spans="1:28" x14ac:dyDescent="0.3">
      <c r="A58" s="23">
        <v>44896</v>
      </c>
      <c r="B58" s="18">
        <v>78.100942275000008</v>
      </c>
      <c r="C58">
        <v>170.2</v>
      </c>
      <c r="D58">
        <v>212.9</v>
      </c>
      <c r="E58">
        <v>191.9</v>
      </c>
      <c r="F58">
        <v>173.9</v>
      </c>
      <c r="G58">
        <v>179.1</v>
      </c>
      <c r="H58">
        <v>159.5</v>
      </c>
      <c r="I58">
        <v>178.7</v>
      </c>
      <c r="J58">
        <v>171.3</v>
      </c>
      <c r="K58">
        <v>123.1</v>
      </c>
      <c r="L58">
        <v>200.5</v>
      </c>
      <c r="M58">
        <v>162.80000000000001</v>
      </c>
      <c r="N58">
        <v>193.3</v>
      </c>
      <c r="O58">
        <v>178.6</v>
      </c>
      <c r="P58">
        <v>201.1</v>
      </c>
      <c r="Q58">
        <v>177.7</v>
      </c>
      <c r="R58">
        <v>164.5</v>
      </c>
      <c r="S58">
        <v>175.7</v>
      </c>
      <c r="T58">
        <v>170.7</v>
      </c>
      <c r="U58">
        <v>180.6</v>
      </c>
      <c r="V58">
        <v>167.3</v>
      </c>
      <c r="W58">
        <v>177.2</v>
      </c>
      <c r="X58">
        <v>176</v>
      </c>
      <c r="Y58">
        <v>171.8</v>
      </c>
      <c r="Z58">
        <v>167.1</v>
      </c>
      <c r="AA58">
        <v>159.4</v>
      </c>
      <c r="AB58">
        <v>168.2</v>
      </c>
    </row>
    <row r="59" spans="1:28" x14ac:dyDescent="0.3">
      <c r="A59" s="23">
        <v>44927</v>
      </c>
      <c r="B59" s="18">
        <v>80.922269684210534</v>
      </c>
      <c r="C59">
        <v>173.3</v>
      </c>
      <c r="D59">
        <v>215.2</v>
      </c>
      <c r="E59">
        <v>197</v>
      </c>
      <c r="F59">
        <v>175.2</v>
      </c>
      <c r="G59">
        <v>178</v>
      </c>
      <c r="H59">
        <v>160.5</v>
      </c>
      <c r="I59">
        <v>175.3</v>
      </c>
      <c r="J59">
        <v>171.2</v>
      </c>
      <c r="K59">
        <v>122.7</v>
      </c>
      <c r="L59">
        <v>204.3</v>
      </c>
      <c r="M59">
        <v>163.69999999999999</v>
      </c>
      <c r="N59">
        <v>194.3</v>
      </c>
      <c r="O59">
        <v>179.5</v>
      </c>
      <c r="P59">
        <v>201.6</v>
      </c>
      <c r="Q59">
        <v>178.7</v>
      </c>
      <c r="R59">
        <v>165.3</v>
      </c>
      <c r="S59">
        <v>176.6</v>
      </c>
      <c r="T59">
        <v>172.1</v>
      </c>
      <c r="U59">
        <v>180.1</v>
      </c>
      <c r="V59">
        <v>168</v>
      </c>
      <c r="W59">
        <v>178.5</v>
      </c>
      <c r="X59">
        <v>178.8</v>
      </c>
      <c r="Y59">
        <v>171.8</v>
      </c>
      <c r="Z59">
        <v>167.8</v>
      </c>
      <c r="AA59">
        <v>159.5</v>
      </c>
      <c r="AB59">
        <v>168.9</v>
      </c>
    </row>
    <row r="60" spans="1:28" x14ac:dyDescent="0.3">
      <c r="A60" s="23">
        <v>44958</v>
      </c>
      <c r="B60" s="18">
        <v>82.278706675000009</v>
      </c>
      <c r="C60">
        <v>174.7</v>
      </c>
      <c r="D60">
        <v>212.2</v>
      </c>
      <c r="E60">
        <v>177.2</v>
      </c>
      <c r="F60">
        <v>177.9</v>
      </c>
      <c r="G60">
        <v>172.2</v>
      </c>
      <c r="H60">
        <v>172.1</v>
      </c>
      <c r="I60">
        <v>175.8</v>
      </c>
      <c r="J60">
        <v>172.2</v>
      </c>
      <c r="K60">
        <v>121.9</v>
      </c>
      <c r="L60">
        <v>204.8</v>
      </c>
      <c r="M60">
        <v>164.9</v>
      </c>
      <c r="N60">
        <v>196.6</v>
      </c>
      <c r="O60">
        <v>180.7</v>
      </c>
      <c r="P60">
        <v>202.7</v>
      </c>
      <c r="Q60">
        <v>180.3</v>
      </c>
      <c r="R60">
        <v>167</v>
      </c>
      <c r="S60">
        <v>178.2</v>
      </c>
      <c r="T60">
        <v>173.5</v>
      </c>
      <c r="U60">
        <v>182.8</v>
      </c>
      <c r="V60">
        <v>169.2</v>
      </c>
      <c r="W60">
        <v>180.8</v>
      </c>
      <c r="X60">
        <v>181.4</v>
      </c>
      <c r="Y60">
        <v>172.5</v>
      </c>
      <c r="Z60">
        <v>168.4</v>
      </c>
      <c r="AA60">
        <v>159.80000000000001</v>
      </c>
      <c r="AB60">
        <v>170</v>
      </c>
    </row>
    <row r="61" spans="1:28" x14ac:dyDescent="0.3">
      <c r="A61" s="23">
        <v>44986</v>
      </c>
      <c r="B61" s="18">
        <v>78.539480282608693</v>
      </c>
      <c r="C61">
        <v>174.7</v>
      </c>
      <c r="D61">
        <v>212.2</v>
      </c>
      <c r="E61">
        <v>177.2</v>
      </c>
      <c r="F61">
        <v>177.9</v>
      </c>
      <c r="G61">
        <v>172.2</v>
      </c>
      <c r="H61">
        <v>172.1</v>
      </c>
      <c r="I61">
        <v>175.9</v>
      </c>
      <c r="J61">
        <v>172.2</v>
      </c>
      <c r="K61">
        <v>121.9</v>
      </c>
      <c r="L61">
        <v>204.8</v>
      </c>
      <c r="M61">
        <v>164.9</v>
      </c>
      <c r="N61">
        <v>196.6</v>
      </c>
      <c r="O61">
        <v>180.8</v>
      </c>
      <c r="P61">
        <v>202.7</v>
      </c>
      <c r="Q61">
        <v>180.2</v>
      </c>
      <c r="R61">
        <v>167</v>
      </c>
      <c r="S61">
        <v>178.2</v>
      </c>
      <c r="T61">
        <v>173.5</v>
      </c>
      <c r="U61">
        <v>182.6</v>
      </c>
      <c r="V61">
        <v>169.2</v>
      </c>
      <c r="W61">
        <v>180.8</v>
      </c>
      <c r="X61">
        <v>181.5</v>
      </c>
      <c r="Y61">
        <v>172.5</v>
      </c>
      <c r="Z61">
        <v>168.4</v>
      </c>
      <c r="AA61">
        <v>159.80000000000001</v>
      </c>
      <c r="AB61">
        <v>170</v>
      </c>
    </row>
    <row r="62" spans="1:28" x14ac:dyDescent="0.3">
      <c r="A62" s="23">
        <v>45017</v>
      </c>
      <c r="B62" s="18">
        <v>83.755358416666667</v>
      </c>
      <c r="C62">
        <v>174.8</v>
      </c>
      <c r="D62">
        <v>213.7</v>
      </c>
      <c r="E62">
        <v>172.4</v>
      </c>
      <c r="F62">
        <v>178.8</v>
      </c>
      <c r="G62">
        <v>168.7</v>
      </c>
      <c r="H62">
        <v>179.2</v>
      </c>
      <c r="I62">
        <v>179.9</v>
      </c>
      <c r="J62">
        <v>174.7</v>
      </c>
      <c r="K62">
        <v>123.1</v>
      </c>
      <c r="L62">
        <v>207.8</v>
      </c>
      <c r="M62">
        <v>165.5</v>
      </c>
      <c r="N62">
        <v>197</v>
      </c>
      <c r="O62">
        <v>182.1</v>
      </c>
      <c r="P62">
        <v>203.5</v>
      </c>
      <c r="Q62">
        <v>181</v>
      </c>
      <c r="R62">
        <v>167.7</v>
      </c>
      <c r="S62">
        <v>178.9</v>
      </c>
      <c r="T62">
        <v>175.2</v>
      </c>
      <c r="U62">
        <v>182.1</v>
      </c>
      <c r="V62">
        <v>169.6</v>
      </c>
      <c r="W62">
        <v>181.5</v>
      </c>
      <c r="X62">
        <v>184.4</v>
      </c>
      <c r="Y62">
        <v>174.2</v>
      </c>
      <c r="Z62">
        <v>168.8</v>
      </c>
      <c r="AA62">
        <v>160.1</v>
      </c>
      <c r="AB62">
        <v>170.9</v>
      </c>
    </row>
    <row r="63" spans="1:28" x14ac:dyDescent="0.3">
      <c r="A63" s="23">
        <v>45047</v>
      </c>
      <c r="B63">
        <v>74.981547824999993</v>
      </c>
      <c r="C63">
        <v>174.7</v>
      </c>
      <c r="D63">
        <v>219.4</v>
      </c>
      <c r="E63">
        <v>176.7</v>
      </c>
      <c r="F63">
        <v>179.4</v>
      </c>
      <c r="G63">
        <v>164.4</v>
      </c>
      <c r="H63">
        <v>175.8</v>
      </c>
      <c r="I63">
        <v>185</v>
      </c>
      <c r="J63">
        <v>176.9</v>
      </c>
      <c r="K63">
        <v>124.2</v>
      </c>
      <c r="L63">
        <v>211.9</v>
      </c>
      <c r="M63">
        <v>165.9</v>
      </c>
      <c r="N63">
        <v>197.7</v>
      </c>
      <c r="O63">
        <v>183.1</v>
      </c>
      <c r="P63">
        <v>204.2</v>
      </c>
      <c r="Q63">
        <v>181.3</v>
      </c>
      <c r="R63">
        <v>168.1</v>
      </c>
      <c r="S63">
        <v>179.3</v>
      </c>
      <c r="T63">
        <v>175.6</v>
      </c>
      <c r="U63">
        <v>183.4</v>
      </c>
      <c r="V63">
        <v>170.1</v>
      </c>
      <c r="W63">
        <v>182.2</v>
      </c>
      <c r="X63">
        <v>185.6</v>
      </c>
      <c r="Y63">
        <v>174.8</v>
      </c>
      <c r="Z63">
        <v>169.2</v>
      </c>
      <c r="AA63">
        <v>160.4</v>
      </c>
      <c r="AB63">
        <v>171.6</v>
      </c>
    </row>
    <row r="65" spans="1:28" ht="15.6" x14ac:dyDescent="0.3">
      <c r="A65" s="17" t="s">
        <v>133</v>
      </c>
      <c r="C65" s="57">
        <f>CORREL($B$38:$B$63,C38:C63)</f>
        <v>0.1120984643229099</v>
      </c>
      <c r="D65" s="57">
        <f>CORREL($B$38:$B$63,D38:D63)</f>
        <v>0.678975852644641</v>
      </c>
      <c r="E65" s="57">
        <f t="shared" ref="E65:AB65" si="1">CORREL($B$38:$B$63,E38:E63)</f>
        <v>-0.37582174905936233</v>
      </c>
      <c r="F65" s="57">
        <f t="shared" si="1"/>
        <v>0.17895777633744342</v>
      </c>
      <c r="G65" s="57">
        <f>CORREL($B$38:$B$63,G38:G63)</f>
        <v>0.80561160892489603</v>
      </c>
      <c r="H65" s="57">
        <f t="shared" si="1"/>
        <v>0.2258299892928308</v>
      </c>
      <c r="I65" s="57">
        <f t="shared" si="1"/>
        <v>0.46663722395581914</v>
      </c>
      <c r="J65" s="57">
        <f t="shared" si="1"/>
        <v>-0.22967593983834458</v>
      </c>
      <c r="K65" s="57">
        <f>CORREL($B$38:$B$63,K38:K63)</f>
        <v>0.34463437264205254</v>
      </c>
      <c r="L65" s="57">
        <f t="shared" si="1"/>
        <v>0.18601057156414527</v>
      </c>
      <c r="M65" s="57">
        <f t="shared" si="1"/>
        <v>0.25136745740818767</v>
      </c>
      <c r="N65" s="57">
        <f t="shared" si="1"/>
        <v>0.30080066329796079</v>
      </c>
      <c r="O65" s="57">
        <f t="shared" si="1"/>
        <v>0.45071878106778407</v>
      </c>
      <c r="P65" s="57">
        <f t="shared" si="1"/>
        <v>4.413276958581995E-2</v>
      </c>
      <c r="Q65" s="57">
        <f t="shared" si="1"/>
        <v>0.34214302772737376</v>
      </c>
      <c r="R65" s="57">
        <f t="shared" si="1"/>
        <v>0.3612979706086154</v>
      </c>
      <c r="S65" s="57">
        <f t="shared" si="1"/>
        <v>0.34526176363818784</v>
      </c>
      <c r="T65" s="57">
        <f t="shared" si="1"/>
        <v>0.23713189120949721</v>
      </c>
      <c r="U65" s="57">
        <f t="shared" si="1"/>
        <v>0.37807201489532255</v>
      </c>
      <c r="V65" s="57">
        <f t="shared" si="1"/>
        <v>0.35181594296036034</v>
      </c>
      <c r="W65" s="57">
        <f t="shared" si="1"/>
        <v>0.26656611635452054</v>
      </c>
      <c r="X65" s="57">
        <f t="shared" si="1"/>
        <v>0.22095711909562235</v>
      </c>
      <c r="Y65" s="57">
        <f t="shared" si="1"/>
        <v>0.27327717518229311</v>
      </c>
      <c r="Z65" s="57">
        <f t="shared" si="1"/>
        <v>0.44989559354085079</v>
      </c>
      <c r="AA65" s="57">
        <f t="shared" si="1"/>
        <v>0.53583549947068165</v>
      </c>
      <c r="AB65" s="57">
        <f t="shared" si="1"/>
        <v>0.36683885506545372</v>
      </c>
    </row>
    <row r="68" spans="1:28" ht="18" x14ac:dyDescent="0.35">
      <c r="A68" s="91" t="s">
        <v>132</v>
      </c>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row>
    <row r="70" spans="1:28" x14ac:dyDescent="0.3">
      <c r="A70" s="1" t="s">
        <v>67</v>
      </c>
      <c r="B70" s="44" t="s">
        <v>68</v>
      </c>
      <c r="C70" s="1" t="s">
        <v>3</v>
      </c>
      <c r="D70" s="1" t="s">
        <v>4</v>
      </c>
      <c r="E70" s="1" t="s">
        <v>5</v>
      </c>
      <c r="F70" s="1" t="s">
        <v>6</v>
      </c>
      <c r="G70" s="1" t="s">
        <v>7</v>
      </c>
      <c r="H70" s="1" t="s">
        <v>8</v>
      </c>
      <c r="I70" s="1" t="s">
        <v>9</v>
      </c>
      <c r="J70" s="1" t="s">
        <v>10</v>
      </c>
      <c r="K70" s="1" t="s">
        <v>11</v>
      </c>
      <c r="L70" s="1" t="s">
        <v>12</v>
      </c>
      <c r="M70" s="1" t="s">
        <v>47</v>
      </c>
      <c r="N70" s="1" t="s">
        <v>45</v>
      </c>
      <c r="O70" s="1" t="s">
        <v>13</v>
      </c>
      <c r="P70" s="1" t="s">
        <v>14</v>
      </c>
      <c r="Q70" s="1" t="s">
        <v>15</v>
      </c>
      <c r="R70" s="1" t="s">
        <v>16</v>
      </c>
      <c r="S70" s="1" t="s">
        <v>17</v>
      </c>
      <c r="T70" s="1" t="s">
        <v>18</v>
      </c>
      <c r="U70" s="1" t="s">
        <v>19</v>
      </c>
      <c r="V70" s="1" t="s">
        <v>20</v>
      </c>
      <c r="W70" s="1" t="s">
        <v>21</v>
      </c>
      <c r="X70" s="1" t="s">
        <v>46</v>
      </c>
      <c r="Y70" s="1" t="s">
        <v>24</v>
      </c>
      <c r="Z70" s="1" t="s">
        <v>23</v>
      </c>
      <c r="AA70" s="1" t="s">
        <v>22</v>
      </c>
      <c r="AB70" s="1" t="s">
        <v>25</v>
      </c>
    </row>
    <row r="71" spans="1:28" x14ac:dyDescent="0.3">
      <c r="A71" s="23">
        <v>44287</v>
      </c>
      <c r="B71" s="18">
        <v>63.396976500000008</v>
      </c>
      <c r="C71">
        <v>144.30000000000001</v>
      </c>
      <c r="D71">
        <v>198</v>
      </c>
      <c r="E71">
        <v>164.6</v>
      </c>
      <c r="F71">
        <v>155.4</v>
      </c>
      <c r="G71">
        <v>170.1</v>
      </c>
      <c r="H71">
        <v>164.4</v>
      </c>
      <c r="I71">
        <v>144.1</v>
      </c>
      <c r="J71">
        <v>161.69999999999999</v>
      </c>
      <c r="K71">
        <v>113.1</v>
      </c>
      <c r="L71">
        <v>163.9</v>
      </c>
      <c r="M71">
        <v>157.6</v>
      </c>
      <c r="N71">
        <v>168.9</v>
      </c>
      <c r="O71">
        <v>158</v>
      </c>
      <c r="P71">
        <v>188.8</v>
      </c>
      <c r="Q71">
        <v>158.80000000000001</v>
      </c>
      <c r="R71">
        <v>148.5</v>
      </c>
      <c r="S71">
        <v>157.30000000000001</v>
      </c>
      <c r="T71">
        <v>161.4</v>
      </c>
      <c r="U71">
        <v>155.6</v>
      </c>
      <c r="V71">
        <v>151.80000000000001</v>
      </c>
      <c r="W71">
        <v>162.30000000000001</v>
      </c>
      <c r="X71">
        <v>155.4</v>
      </c>
      <c r="Y71">
        <v>160.30000000000001</v>
      </c>
      <c r="Z71">
        <v>153.19999999999999</v>
      </c>
      <c r="AA71">
        <v>146.6</v>
      </c>
      <c r="AB71">
        <v>154.4</v>
      </c>
    </row>
    <row r="72" spans="1:28" x14ac:dyDescent="0.3">
      <c r="A72" s="23">
        <v>44317</v>
      </c>
      <c r="B72" s="18">
        <v>66.953084852941174</v>
      </c>
      <c r="C72">
        <v>146.30000000000001</v>
      </c>
      <c r="D72">
        <v>200.5</v>
      </c>
      <c r="E72">
        <v>170.3</v>
      </c>
      <c r="F72">
        <v>156.1</v>
      </c>
      <c r="G72">
        <v>178.7</v>
      </c>
      <c r="H72">
        <v>167.1</v>
      </c>
      <c r="I72">
        <v>147.9</v>
      </c>
      <c r="J72">
        <v>165.4</v>
      </c>
      <c r="K72">
        <v>114.8</v>
      </c>
      <c r="L72">
        <v>168.2</v>
      </c>
      <c r="M72">
        <v>159.30000000000001</v>
      </c>
      <c r="N72">
        <v>170.4</v>
      </c>
      <c r="O72">
        <v>160.69999999999999</v>
      </c>
      <c r="P72">
        <v>191.9</v>
      </c>
      <c r="Q72">
        <v>161.80000000000001</v>
      </c>
      <c r="R72">
        <v>152.1</v>
      </c>
      <c r="S72">
        <v>160.4</v>
      </c>
      <c r="T72">
        <v>161.6</v>
      </c>
      <c r="U72">
        <v>159.4</v>
      </c>
      <c r="V72">
        <v>154.69999999999999</v>
      </c>
      <c r="W72">
        <v>165.8</v>
      </c>
      <c r="X72">
        <v>158.6</v>
      </c>
      <c r="Y72">
        <v>161.19999999999999</v>
      </c>
      <c r="Z72">
        <v>155.80000000000001</v>
      </c>
      <c r="AA72">
        <v>148.9</v>
      </c>
      <c r="AB72">
        <v>156.80000000000001</v>
      </c>
    </row>
    <row r="73" spans="1:28" x14ac:dyDescent="0.3">
      <c r="A73" s="23">
        <v>44348</v>
      </c>
      <c r="B73" s="18">
        <v>71.982647477272721</v>
      </c>
      <c r="C73">
        <v>146.69999999999999</v>
      </c>
      <c r="D73">
        <v>202</v>
      </c>
      <c r="E73">
        <v>180.7</v>
      </c>
      <c r="F73">
        <v>156.19999999999999</v>
      </c>
      <c r="G73">
        <v>183.7</v>
      </c>
      <c r="H73">
        <v>164.6</v>
      </c>
      <c r="I73">
        <v>155.4</v>
      </c>
      <c r="J73">
        <v>166</v>
      </c>
      <c r="K73">
        <v>115.1</v>
      </c>
      <c r="L73">
        <v>168.5</v>
      </c>
      <c r="M73">
        <v>160</v>
      </c>
      <c r="N73">
        <v>172.4</v>
      </c>
      <c r="O73">
        <v>162.6</v>
      </c>
      <c r="P73">
        <v>190.8</v>
      </c>
      <c r="Q73">
        <v>162.19999999999999</v>
      </c>
      <c r="R73">
        <v>151.80000000000001</v>
      </c>
      <c r="S73">
        <v>160.69999999999999</v>
      </c>
      <c r="T73">
        <v>160.5</v>
      </c>
      <c r="U73">
        <v>159.80000000000001</v>
      </c>
      <c r="V73">
        <v>154.80000000000001</v>
      </c>
      <c r="W73">
        <v>166.3</v>
      </c>
      <c r="X73">
        <v>158.80000000000001</v>
      </c>
      <c r="Y73">
        <v>161.69999999999999</v>
      </c>
      <c r="Z73">
        <v>154.9</v>
      </c>
      <c r="AA73">
        <v>150.69999999999999</v>
      </c>
      <c r="AB73">
        <v>157.6</v>
      </c>
    </row>
    <row r="74" spans="1:28" x14ac:dyDescent="0.3">
      <c r="A74" s="23">
        <v>44378</v>
      </c>
      <c r="B74" s="18">
        <v>73.539060523809511</v>
      </c>
      <c r="C74">
        <v>146.4</v>
      </c>
      <c r="D74">
        <v>206.8</v>
      </c>
      <c r="E74">
        <v>182.2</v>
      </c>
      <c r="F74">
        <v>157.5</v>
      </c>
      <c r="G74">
        <v>182.1</v>
      </c>
      <c r="H74">
        <v>163.9</v>
      </c>
      <c r="I74">
        <v>164.2</v>
      </c>
      <c r="J74">
        <v>164</v>
      </c>
      <c r="K74">
        <v>114.5</v>
      </c>
      <c r="L74">
        <v>168.3</v>
      </c>
      <c r="M74">
        <v>160.9</v>
      </c>
      <c r="N74">
        <v>172.2</v>
      </c>
      <c r="O74">
        <v>164</v>
      </c>
      <c r="P74">
        <v>191.2</v>
      </c>
      <c r="Q74">
        <v>162.80000000000001</v>
      </c>
      <c r="R74">
        <v>153.1</v>
      </c>
      <c r="S74">
        <v>161.4</v>
      </c>
      <c r="T74">
        <v>161.5</v>
      </c>
      <c r="U74">
        <v>160.69999999999999</v>
      </c>
      <c r="V74">
        <v>155.80000000000001</v>
      </c>
      <c r="W74">
        <v>167</v>
      </c>
      <c r="X74">
        <v>160.1</v>
      </c>
      <c r="Y74">
        <v>163.19999999999999</v>
      </c>
      <c r="Z74">
        <v>155.30000000000001</v>
      </c>
      <c r="AA74">
        <v>153.1</v>
      </c>
      <c r="AB74">
        <v>159</v>
      </c>
    </row>
    <row r="75" spans="1:28" x14ac:dyDescent="0.3">
      <c r="A75" s="23">
        <v>44409</v>
      </c>
      <c r="B75" s="18">
        <v>69.804724424999989</v>
      </c>
      <c r="C75">
        <v>146.6</v>
      </c>
      <c r="D75">
        <v>204</v>
      </c>
      <c r="E75">
        <v>172.8</v>
      </c>
      <c r="F75">
        <v>158.4</v>
      </c>
      <c r="G75">
        <v>188</v>
      </c>
      <c r="H75">
        <v>156.80000000000001</v>
      </c>
      <c r="I75">
        <v>162.19999999999999</v>
      </c>
      <c r="J75">
        <v>164.1</v>
      </c>
      <c r="K75">
        <v>119.7</v>
      </c>
      <c r="L75">
        <v>168.8</v>
      </c>
      <c r="M75">
        <v>162.69999999999999</v>
      </c>
      <c r="N75">
        <v>173.9</v>
      </c>
      <c r="O75">
        <v>164</v>
      </c>
      <c r="P75">
        <v>192.1</v>
      </c>
      <c r="Q75">
        <v>164.5</v>
      </c>
      <c r="R75">
        <v>155.30000000000001</v>
      </c>
      <c r="S75">
        <v>163.19999999999999</v>
      </c>
      <c r="T75">
        <v>162.1</v>
      </c>
      <c r="U75">
        <v>162.6</v>
      </c>
      <c r="V75">
        <v>157.5</v>
      </c>
      <c r="W75">
        <v>168.4</v>
      </c>
      <c r="X75">
        <v>160</v>
      </c>
      <c r="Y75">
        <v>163.80000000000001</v>
      </c>
      <c r="Z75">
        <v>157.6</v>
      </c>
      <c r="AA75">
        <v>154</v>
      </c>
      <c r="AB75">
        <v>160</v>
      </c>
    </row>
    <row r="76" spans="1:28" x14ac:dyDescent="0.3">
      <c r="A76" s="23">
        <v>44440</v>
      </c>
      <c r="B76" s="18">
        <v>73.130738295454549</v>
      </c>
      <c r="C76">
        <v>146.6</v>
      </c>
      <c r="D76">
        <v>204</v>
      </c>
      <c r="E76">
        <v>172.8</v>
      </c>
      <c r="F76">
        <v>158.4</v>
      </c>
      <c r="G76">
        <v>188</v>
      </c>
      <c r="H76">
        <v>156.69999999999999</v>
      </c>
      <c r="I76">
        <v>162.30000000000001</v>
      </c>
      <c r="J76">
        <v>164.1</v>
      </c>
      <c r="K76">
        <v>119.7</v>
      </c>
      <c r="L76">
        <v>168.8</v>
      </c>
      <c r="M76">
        <v>162.69999999999999</v>
      </c>
      <c r="N76">
        <v>173.9</v>
      </c>
      <c r="O76">
        <v>164</v>
      </c>
      <c r="P76">
        <v>192.1</v>
      </c>
      <c r="Q76">
        <v>164.6</v>
      </c>
      <c r="R76">
        <v>155.30000000000001</v>
      </c>
      <c r="S76">
        <v>163.30000000000001</v>
      </c>
      <c r="T76">
        <v>162.1</v>
      </c>
      <c r="U76">
        <v>162.6</v>
      </c>
      <c r="V76">
        <v>157.5</v>
      </c>
      <c r="W76">
        <v>168.4</v>
      </c>
      <c r="X76">
        <v>160</v>
      </c>
      <c r="Y76">
        <v>163.69999999999999</v>
      </c>
      <c r="Z76">
        <v>157.69999999999999</v>
      </c>
      <c r="AA76">
        <v>154</v>
      </c>
      <c r="AB76">
        <v>160</v>
      </c>
    </row>
    <row r="77" spans="1:28" x14ac:dyDescent="0.3">
      <c r="A77" s="23">
        <v>44470</v>
      </c>
      <c r="B77" s="18">
        <v>82.107393785714294</v>
      </c>
      <c r="C77">
        <v>147.4</v>
      </c>
      <c r="D77">
        <v>204.6</v>
      </c>
      <c r="E77">
        <v>171.2</v>
      </c>
      <c r="F77">
        <v>158.69999999999999</v>
      </c>
      <c r="G77">
        <v>190.6</v>
      </c>
      <c r="H77">
        <v>155.69999999999999</v>
      </c>
      <c r="I77">
        <v>185.3</v>
      </c>
      <c r="J77">
        <v>165.2</v>
      </c>
      <c r="K77">
        <v>121.9</v>
      </c>
      <c r="L77">
        <v>169.3</v>
      </c>
      <c r="M77">
        <v>163.19999999999999</v>
      </c>
      <c r="N77">
        <v>174.7</v>
      </c>
      <c r="O77">
        <v>167.7</v>
      </c>
      <c r="P77">
        <v>192.7</v>
      </c>
      <c r="Q77">
        <v>165.7</v>
      </c>
      <c r="R77">
        <v>156.30000000000001</v>
      </c>
      <c r="S77">
        <v>164.3</v>
      </c>
      <c r="T77">
        <v>163.6</v>
      </c>
      <c r="U77">
        <v>164.2</v>
      </c>
      <c r="V77">
        <v>158.4</v>
      </c>
      <c r="W77">
        <v>169.1</v>
      </c>
      <c r="X77">
        <v>160.80000000000001</v>
      </c>
      <c r="Y77">
        <v>163.9</v>
      </c>
      <c r="Z77">
        <v>158.6</v>
      </c>
      <c r="AA77">
        <v>155.69999999999999</v>
      </c>
      <c r="AB77">
        <v>161</v>
      </c>
    </row>
    <row r="78" spans="1:28" x14ac:dyDescent="0.3">
      <c r="A78" s="23">
        <v>44501</v>
      </c>
      <c r="B78" s="18">
        <v>80.637301023809528</v>
      </c>
      <c r="C78">
        <v>148.19999999999999</v>
      </c>
      <c r="D78">
        <v>201.6</v>
      </c>
      <c r="E78">
        <v>173</v>
      </c>
      <c r="F78">
        <v>159.30000000000001</v>
      </c>
      <c r="G78">
        <v>190.1</v>
      </c>
      <c r="H78">
        <v>156.5</v>
      </c>
      <c r="I78">
        <v>199.2</v>
      </c>
      <c r="J78">
        <v>165.3</v>
      </c>
      <c r="K78">
        <v>122.4</v>
      </c>
      <c r="L78">
        <v>169.6</v>
      </c>
      <c r="M78">
        <v>163.69999999999999</v>
      </c>
      <c r="N78">
        <v>175.5</v>
      </c>
      <c r="O78">
        <v>169.7</v>
      </c>
      <c r="P78">
        <v>192.9</v>
      </c>
      <c r="Q78">
        <v>167.2</v>
      </c>
      <c r="R78">
        <v>157.4</v>
      </c>
      <c r="S78">
        <v>165.8</v>
      </c>
      <c r="T78">
        <v>164.2</v>
      </c>
      <c r="U78">
        <v>163.9</v>
      </c>
      <c r="V78">
        <v>159.30000000000001</v>
      </c>
      <c r="W78">
        <v>169.9</v>
      </c>
      <c r="X78">
        <v>162.19999999999999</v>
      </c>
      <c r="Y78">
        <v>164.3</v>
      </c>
      <c r="Z78">
        <v>159.80000000000001</v>
      </c>
      <c r="AA78">
        <v>154.80000000000001</v>
      </c>
      <c r="AB78">
        <v>161.4</v>
      </c>
    </row>
    <row r="79" spans="1:28" x14ac:dyDescent="0.3">
      <c r="A79" s="23">
        <v>44531</v>
      </c>
      <c r="B79" s="18">
        <v>73.298823523809531</v>
      </c>
      <c r="C79">
        <v>148.69999999999999</v>
      </c>
      <c r="D79">
        <v>198.8</v>
      </c>
      <c r="E79">
        <v>177.9</v>
      </c>
      <c r="F79">
        <v>159.9</v>
      </c>
      <c r="G79">
        <v>187.6</v>
      </c>
      <c r="H79">
        <v>154.9</v>
      </c>
      <c r="I79">
        <v>188.3</v>
      </c>
      <c r="J79">
        <v>164.4</v>
      </c>
      <c r="K79">
        <v>121</v>
      </c>
      <c r="L79">
        <v>170.5</v>
      </c>
      <c r="M79">
        <v>164.2</v>
      </c>
      <c r="N79">
        <v>176.5</v>
      </c>
      <c r="O79">
        <v>168.2</v>
      </c>
      <c r="P79">
        <v>192.4</v>
      </c>
      <c r="Q79">
        <v>168.5</v>
      </c>
      <c r="R79">
        <v>158.69999999999999</v>
      </c>
      <c r="S79">
        <v>167</v>
      </c>
      <c r="T79">
        <v>163.4</v>
      </c>
      <c r="U79">
        <v>164.1</v>
      </c>
      <c r="V79">
        <v>160.19999999999999</v>
      </c>
      <c r="W79">
        <v>170.6</v>
      </c>
      <c r="X79">
        <v>162.6</v>
      </c>
      <c r="Y79">
        <v>164.4</v>
      </c>
      <c r="Z79">
        <v>160.6</v>
      </c>
      <c r="AA79">
        <v>155.69999999999999</v>
      </c>
      <c r="AB79">
        <v>162</v>
      </c>
    </row>
    <row r="80" spans="1:28" x14ac:dyDescent="0.3">
      <c r="A80" s="23">
        <v>44562</v>
      </c>
      <c r="B80" s="18">
        <v>84.666318799999985</v>
      </c>
      <c r="C80">
        <v>149.5</v>
      </c>
      <c r="D80">
        <v>198.7</v>
      </c>
      <c r="E80">
        <v>178.8</v>
      </c>
      <c r="F80">
        <v>160.5</v>
      </c>
      <c r="G80">
        <v>184.7</v>
      </c>
      <c r="H80">
        <v>153.69999999999999</v>
      </c>
      <c r="I80">
        <v>174.3</v>
      </c>
      <c r="J80">
        <v>163.9</v>
      </c>
      <c r="K80">
        <v>120</v>
      </c>
      <c r="L80">
        <v>172.1</v>
      </c>
      <c r="M80">
        <v>164.3</v>
      </c>
      <c r="N80">
        <v>177.3</v>
      </c>
      <c r="O80">
        <v>166.4</v>
      </c>
      <c r="P80">
        <v>192.2</v>
      </c>
      <c r="Q80">
        <v>169.9</v>
      </c>
      <c r="R80">
        <v>160.69999999999999</v>
      </c>
      <c r="S80">
        <v>168.5</v>
      </c>
      <c r="T80">
        <v>164.5</v>
      </c>
      <c r="U80">
        <v>164.2</v>
      </c>
      <c r="V80">
        <v>161.1</v>
      </c>
      <c r="W80">
        <v>171.4</v>
      </c>
      <c r="X80">
        <v>163</v>
      </c>
      <c r="Y80">
        <v>164.7</v>
      </c>
      <c r="Z80">
        <v>161.19999999999999</v>
      </c>
      <c r="AA80">
        <v>156.5</v>
      </c>
      <c r="AB80">
        <v>162.69999999999999</v>
      </c>
    </row>
    <row r="81" spans="1:28" x14ac:dyDescent="0.3">
      <c r="A81" s="23">
        <v>44593</v>
      </c>
      <c r="B81" s="18">
        <v>94.067715194444446</v>
      </c>
      <c r="C81">
        <v>150</v>
      </c>
      <c r="D81">
        <v>200.6</v>
      </c>
      <c r="E81">
        <v>175.8</v>
      </c>
      <c r="F81">
        <v>160.69999999999999</v>
      </c>
      <c r="G81">
        <v>184.9</v>
      </c>
      <c r="H81">
        <v>153.69999999999999</v>
      </c>
      <c r="I81">
        <v>169.7</v>
      </c>
      <c r="J81">
        <v>163.69999999999999</v>
      </c>
      <c r="K81">
        <v>118.9</v>
      </c>
      <c r="L81">
        <v>174.3</v>
      </c>
      <c r="M81">
        <v>164.7</v>
      </c>
      <c r="N81">
        <v>178</v>
      </c>
      <c r="O81">
        <v>166.2</v>
      </c>
      <c r="P81">
        <v>192.8</v>
      </c>
      <c r="Q81">
        <v>170.8</v>
      </c>
      <c r="R81">
        <v>162.4</v>
      </c>
      <c r="S81">
        <v>169.6</v>
      </c>
      <c r="T81">
        <v>165.5</v>
      </c>
      <c r="U81">
        <v>165.7</v>
      </c>
      <c r="V81">
        <v>161.80000000000001</v>
      </c>
      <c r="W81">
        <v>172.2</v>
      </c>
      <c r="X81">
        <v>164.4</v>
      </c>
      <c r="Y81">
        <v>165.4</v>
      </c>
      <c r="Z81">
        <v>162.1</v>
      </c>
      <c r="AA81">
        <v>156.9</v>
      </c>
      <c r="AB81">
        <v>163.5</v>
      </c>
    </row>
    <row r="82" spans="1:28" x14ac:dyDescent="0.3">
      <c r="A82" s="23">
        <v>44621</v>
      </c>
      <c r="B82" s="18">
        <v>112.87479254347826</v>
      </c>
      <c r="C82">
        <v>151.30000000000001</v>
      </c>
      <c r="D82">
        <v>210.7</v>
      </c>
      <c r="E82">
        <v>167.8</v>
      </c>
      <c r="F82">
        <v>162.19999999999999</v>
      </c>
      <c r="G82">
        <v>194.6</v>
      </c>
      <c r="H82">
        <v>157.6</v>
      </c>
      <c r="I82">
        <v>166.9</v>
      </c>
      <c r="J82">
        <v>163.9</v>
      </c>
      <c r="K82">
        <v>118.8</v>
      </c>
      <c r="L82">
        <v>177.4</v>
      </c>
      <c r="M82">
        <v>165.3</v>
      </c>
      <c r="N82">
        <v>179.3</v>
      </c>
      <c r="O82">
        <v>168.4</v>
      </c>
      <c r="P82">
        <v>193.7</v>
      </c>
      <c r="Q82">
        <v>172.1</v>
      </c>
      <c r="R82">
        <v>164.6</v>
      </c>
      <c r="S82">
        <v>171.1</v>
      </c>
      <c r="T82">
        <v>165.3</v>
      </c>
      <c r="U82">
        <v>167.2</v>
      </c>
      <c r="V82">
        <v>162.80000000000001</v>
      </c>
      <c r="W82">
        <v>173</v>
      </c>
      <c r="X82">
        <v>167.2</v>
      </c>
      <c r="Y82">
        <v>166</v>
      </c>
      <c r="Z82">
        <v>163.30000000000001</v>
      </c>
      <c r="AA82">
        <v>157.9</v>
      </c>
      <c r="AB82">
        <v>164.6</v>
      </c>
    </row>
    <row r="83" spans="1:28" x14ac:dyDescent="0.3">
      <c r="A83" s="23">
        <v>44652</v>
      </c>
      <c r="B83" s="18">
        <v>102.96599786842103</v>
      </c>
      <c r="C83">
        <v>152.9</v>
      </c>
      <c r="D83">
        <v>211.8</v>
      </c>
      <c r="E83">
        <v>164.5</v>
      </c>
      <c r="F83">
        <v>163.9</v>
      </c>
      <c r="G83">
        <v>199.5</v>
      </c>
      <c r="H83">
        <v>172.6</v>
      </c>
      <c r="I83">
        <v>166.2</v>
      </c>
      <c r="J83">
        <v>164.7</v>
      </c>
      <c r="K83">
        <v>119</v>
      </c>
      <c r="L83">
        <v>181.3</v>
      </c>
      <c r="M83">
        <v>166.2</v>
      </c>
      <c r="N83">
        <v>180.9</v>
      </c>
      <c r="O83">
        <v>170.8</v>
      </c>
      <c r="P83">
        <v>193.9</v>
      </c>
      <c r="Q83">
        <v>173.9</v>
      </c>
      <c r="R83">
        <v>166.5</v>
      </c>
      <c r="S83">
        <v>172.8</v>
      </c>
      <c r="T83">
        <v>167</v>
      </c>
      <c r="U83">
        <v>172.2</v>
      </c>
      <c r="V83">
        <v>164</v>
      </c>
      <c r="W83">
        <v>174</v>
      </c>
      <c r="X83">
        <v>168.8</v>
      </c>
      <c r="Y83">
        <v>166.9</v>
      </c>
      <c r="Z83">
        <v>164.4</v>
      </c>
      <c r="AA83">
        <v>162.6</v>
      </c>
      <c r="AB83">
        <v>166.8</v>
      </c>
    </row>
    <row r="84" spans="1:28" x14ac:dyDescent="0.3">
      <c r="A84" s="23">
        <v>44682</v>
      </c>
      <c r="B84" s="18">
        <v>109.50503773684208</v>
      </c>
      <c r="C84">
        <v>154.1</v>
      </c>
      <c r="D84">
        <v>217</v>
      </c>
      <c r="E84">
        <v>162.4</v>
      </c>
      <c r="F84">
        <v>164.9</v>
      </c>
      <c r="G84">
        <v>202.4</v>
      </c>
      <c r="H84">
        <v>171</v>
      </c>
      <c r="I84">
        <v>174.9</v>
      </c>
      <c r="J84">
        <v>164.7</v>
      </c>
      <c r="K84">
        <v>119.7</v>
      </c>
      <c r="L84">
        <v>184.9</v>
      </c>
      <c r="M84">
        <v>167.1</v>
      </c>
      <c r="N84">
        <v>182.5</v>
      </c>
      <c r="O84">
        <v>173.3</v>
      </c>
      <c r="P84">
        <v>194.1</v>
      </c>
      <c r="Q84">
        <v>175.6</v>
      </c>
      <c r="R84">
        <v>168.4</v>
      </c>
      <c r="S84">
        <v>174.6</v>
      </c>
      <c r="T84">
        <v>167.5</v>
      </c>
      <c r="U84">
        <v>174.6</v>
      </c>
      <c r="V84">
        <v>165.2</v>
      </c>
      <c r="W84">
        <v>174.8</v>
      </c>
      <c r="X84">
        <v>168.4</v>
      </c>
      <c r="Y84">
        <v>167.9</v>
      </c>
      <c r="Z84">
        <v>165.1</v>
      </c>
      <c r="AA84">
        <v>163</v>
      </c>
      <c r="AB84">
        <v>167.5</v>
      </c>
    </row>
    <row r="85" spans="1:28" x14ac:dyDescent="0.3">
      <c r="A85" s="23">
        <v>44713</v>
      </c>
      <c r="B85" s="18">
        <v>116.01138504999999</v>
      </c>
      <c r="C85">
        <v>155</v>
      </c>
      <c r="D85">
        <v>219.4</v>
      </c>
      <c r="E85">
        <v>170.8</v>
      </c>
      <c r="F85">
        <v>165.8</v>
      </c>
      <c r="G85">
        <v>200.9</v>
      </c>
      <c r="H85">
        <v>169.7</v>
      </c>
      <c r="I85">
        <v>182.3</v>
      </c>
      <c r="J85">
        <v>164.3</v>
      </c>
      <c r="K85">
        <v>119.9</v>
      </c>
      <c r="L85">
        <v>187.1</v>
      </c>
      <c r="M85">
        <v>167.9</v>
      </c>
      <c r="N85">
        <v>183.9</v>
      </c>
      <c r="O85">
        <v>174.9</v>
      </c>
      <c r="P85">
        <v>194.3</v>
      </c>
      <c r="Q85">
        <v>177.1</v>
      </c>
      <c r="R85">
        <v>169.9</v>
      </c>
      <c r="S85">
        <v>176</v>
      </c>
      <c r="T85">
        <v>166.8</v>
      </c>
      <c r="U85">
        <v>176</v>
      </c>
      <c r="V85">
        <v>166.4</v>
      </c>
      <c r="W85">
        <v>175.4</v>
      </c>
      <c r="X85">
        <v>169.4</v>
      </c>
      <c r="Y85">
        <v>169</v>
      </c>
      <c r="Z85">
        <v>165.8</v>
      </c>
      <c r="AA85">
        <v>161.1</v>
      </c>
      <c r="AB85">
        <v>167.5</v>
      </c>
    </row>
    <row r="86" spans="1:28" x14ac:dyDescent="0.3">
      <c r="A86" s="23">
        <v>44743</v>
      </c>
      <c r="B86" s="18">
        <v>105.49124737500001</v>
      </c>
      <c r="C86">
        <v>156.5</v>
      </c>
      <c r="D86">
        <v>213</v>
      </c>
      <c r="E86">
        <v>175.2</v>
      </c>
      <c r="F86">
        <v>166.6</v>
      </c>
      <c r="G86">
        <v>195.8</v>
      </c>
      <c r="H86">
        <v>174.2</v>
      </c>
      <c r="I86">
        <v>182.1</v>
      </c>
      <c r="J86">
        <v>164.3</v>
      </c>
      <c r="K86">
        <v>120</v>
      </c>
      <c r="L86">
        <v>190</v>
      </c>
      <c r="M86">
        <v>168.4</v>
      </c>
      <c r="N86">
        <v>185.2</v>
      </c>
      <c r="O86">
        <v>175</v>
      </c>
      <c r="P86">
        <v>194.6</v>
      </c>
      <c r="Q86">
        <v>178.3</v>
      </c>
      <c r="R86">
        <v>171.3</v>
      </c>
      <c r="S86">
        <v>177.3</v>
      </c>
      <c r="T86">
        <v>167.8</v>
      </c>
      <c r="U86">
        <v>179.6</v>
      </c>
      <c r="V86">
        <v>167.4</v>
      </c>
      <c r="W86">
        <v>176.1</v>
      </c>
      <c r="X86">
        <v>169.7</v>
      </c>
      <c r="Y86">
        <v>171.4</v>
      </c>
      <c r="Z86">
        <v>166.3</v>
      </c>
      <c r="AA86">
        <v>161.6</v>
      </c>
      <c r="AB86">
        <v>168.4</v>
      </c>
    </row>
    <row r="87" spans="1:28" x14ac:dyDescent="0.3">
      <c r="A87" s="23">
        <v>44774</v>
      </c>
      <c r="B87" s="18">
        <v>97.404465428571427</v>
      </c>
      <c r="C87">
        <v>160.30000000000001</v>
      </c>
      <c r="D87">
        <v>206.5</v>
      </c>
      <c r="E87">
        <v>169.2</v>
      </c>
      <c r="F87">
        <v>168.1</v>
      </c>
      <c r="G87">
        <v>192.4</v>
      </c>
      <c r="H87">
        <v>172.9</v>
      </c>
      <c r="I87">
        <v>186.7</v>
      </c>
      <c r="J87">
        <v>167.2</v>
      </c>
      <c r="K87">
        <v>120.9</v>
      </c>
      <c r="L87">
        <v>193.6</v>
      </c>
      <c r="M87">
        <v>168.8</v>
      </c>
      <c r="N87">
        <v>186.3</v>
      </c>
      <c r="O87">
        <v>176.3</v>
      </c>
      <c r="P87">
        <v>195</v>
      </c>
      <c r="Q87">
        <v>179.5</v>
      </c>
      <c r="R87">
        <v>172.7</v>
      </c>
      <c r="S87">
        <v>178.5</v>
      </c>
      <c r="T87">
        <v>169</v>
      </c>
      <c r="U87">
        <v>178.8</v>
      </c>
      <c r="V87">
        <v>168.5</v>
      </c>
      <c r="W87">
        <v>176.8</v>
      </c>
      <c r="X87">
        <v>171.2</v>
      </c>
      <c r="Y87">
        <v>172.3</v>
      </c>
      <c r="Z87">
        <v>166.9</v>
      </c>
      <c r="AA87">
        <v>161.9</v>
      </c>
      <c r="AB87">
        <v>169.1</v>
      </c>
    </row>
    <row r="88" spans="1:28" x14ac:dyDescent="0.3">
      <c r="A88" s="23">
        <v>44805</v>
      </c>
      <c r="B88" s="18">
        <v>90.706344809523813</v>
      </c>
      <c r="C88">
        <v>163.5</v>
      </c>
      <c r="D88">
        <v>209.2</v>
      </c>
      <c r="E88">
        <v>169.7</v>
      </c>
      <c r="F88">
        <v>169.7</v>
      </c>
      <c r="G88">
        <v>188.7</v>
      </c>
      <c r="H88">
        <v>165.7</v>
      </c>
      <c r="I88">
        <v>191.8</v>
      </c>
      <c r="J88">
        <v>169.1</v>
      </c>
      <c r="K88">
        <v>121.6</v>
      </c>
      <c r="L88">
        <v>197.3</v>
      </c>
      <c r="M88">
        <v>169.4</v>
      </c>
      <c r="N88">
        <v>187.4</v>
      </c>
      <c r="O88">
        <v>177.8</v>
      </c>
      <c r="P88">
        <v>195.9</v>
      </c>
      <c r="Q88">
        <v>180.9</v>
      </c>
      <c r="R88">
        <v>174.3</v>
      </c>
      <c r="S88">
        <v>179.9</v>
      </c>
      <c r="T88">
        <v>169.5</v>
      </c>
      <c r="U88">
        <v>179.5</v>
      </c>
      <c r="V88">
        <v>169.5</v>
      </c>
      <c r="W88">
        <v>177.8</v>
      </c>
      <c r="X88">
        <v>170.9</v>
      </c>
      <c r="Y88">
        <v>173.1</v>
      </c>
      <c r="Z88">
        <v>167.6</v>
      </c>
      <c r="AA88">
        <v>162.30000000000001</v>
      </c>
      <c r="AB88">
        <v>169.7</v>
      </c>
    </row>
    <row r="89" spans="1:28" x14ac:dyDescent="0.3">
      <c r="A89" s="23">
        <v>44835</v>
      </c>
      <c r="B89" s="18">
        <v>91.698948700000003</v>
      </c>
      <c r="C89">
        <v>165.2</v>
      </c>
      <c r="D89">
        <v>210.9</v>
      </c>
      <c r="E89">
        <v>170.9</v>
      </c>
      <c r="F89">
        <v>170.9</v>
      </c>
      <c r="G89">
        <v>186.5</v>
      </c>
      <c r="H89">
        <v>163.80000000000001</v>
      </c>
      <c r="I89">
        <v>199.7</v>
      </c>
      <c r="J89">
        <v>169.8</v>
      </c>
      <c r="K89">
        <v>121.9</v>
      </c>
      <c r="L89">
        <v>199.9</v>
      </c>
      <c r="M89">
        <v>169.9</v>
      </c>
      <c r="N89">
        <v>188.3</v>
      </c>
      <c r="O89">
        <v>179.6</v>
      </c>
      <c r="P89">
        <v>196.3</v>
      </c>
      <c r="Q89">
        <v>181.9</v>
      </c>
      <c r="R89">
        <v>175.3</v>
      </c>
      <c r="S89">
        <v>181</v>
      </c>
      <c r="T89">
        <v>171.2</v>
      </c>
      <c r="U89">
        <v>180.5</v>
      </c>
      <c r="V89">
        <v>170.4</v>
      </c>
      <c r="W89">
        <v>178.7</v>
      </c>
      <c r="X89">
        <v>172.1</v>
      </c>
      <c r="Y89">
        <v>173.4</v>
      </c>
      <c r="Z89">
        <v>168.2</v>
      </c>
      <c r="AA89">
        <v>162.9</v>
      </c>
      <c r="AB89">
        <v>170.5</v>
      </c>
    </row>
    <row r="90" spans="1:28" x14ac:dyDescent="0.3">
      <c r="A90" s="23">
        <v>44866</v>
      </c>
      <c r="B90" s="18">
        <v>87.552266068181822</v>
      </c>
      <c r="C90">
        <v>167.4</v>
      </c>
      <c r="D90">
        <v>209.4</v>
      </c>
      <c r="E90">
        <v>181.4</v>
      </c>
      <c r="F90">
        <v>172.3</v>
      </c>
      <c r="G90">
        <v>188.9</v>
      </c>
      <c r="H90">
        <v>160.69999999999999</v>
      </c>
      <c r="I90">
        <v>183.1</v>
      </c>
      <c r="J90">
        <v>170.5</v>
      </c>
      <c r="K90">
        <v>122.1</v>
      </c>
      <c r="L90">
        <v>202.8</v>
      </c>
      <c r="M90">
        <v>170.4</v>
      </c>
      <c r="N90">
        <v>189.5</v>
      </c>
      <c r="O90">
        <v>178.3</v>
      </c>
      <c r="P90">
        <v>196.9</v>
      </c>
      <c r="Q90">
        <v>183.1</v>
      </c>
      <c r="R90">
        <v>176.2</v>
      </c>
      <c r="S90">
        <v>182.1</v>
      </c>
      <c r="T90">
        <v>171.8</v>
      </c>
      <c r="U90">
        <v>181.3</v>
      </c>
      <c r="V90">
        <v>171.4</v>
      </c>
      <c r="W90">
        <v>179.8</v>
      </c>
      <c r="X90">
        <v>173.6</v>
      </c>
      <c r="Y90">
        <v>173.7</v>
      </c>
      <c r="Z90">
        <v>168.5</v>
      </c>
      <c r="AA90">
        <v>163</v>
      </c>
      <c r="AB90">
        <v>171.1</v>
      </c>
    </row>
    <row r="91" spans="1:28" x14ac:dyDescent="0.3">
      <c r="A91" s="23">
        <v>44896</v>
      </c>
      <c r="B91" s="18">
        <v>78.100942275000008</v>
      </c>
      <c r="C91">
        <v>169.2</v>
      </c>
      <c r="D91">
        <v>209</v>
      </c>
      <c r="E91">
        <v>190.2</v>
      </c>
      <c r="F91">
        <v>173.6</v>
      </c>
      <c r="G91">
        <v>188.5</v>
      </c>
      <c r="H91">
        <v>158</v>
      </c>
      <c r="I91">
        <v>159.9</v>
      </c>
      <c r="J91">
        <v>170.8</v>
      </c>
      <c r="K91">
        <v>121.8</v>
      </c>
      <c r="L91">
        <v>205.2</v>
      </c>
      <c r="M91">
        <v>171</v>
      </c>
      <c r="N91">
        <v>190.3</v>
      </c>
      <c r="O91">
        <v>175.9</v>
      </c>
      <c r="P91">
        <v>197.3</v>
      </c>
      <c r="Q91">
        <v>184</v>
      </c>
      <c r="R91">
        <v>177</v>
      </c>
      <c r="S91">
        <v>183</v>
      </c>
      <c r="T91">
        <v>170.7</v>
      </c>
      <c r="U91">
        <v>182</v>
      </c>
      <c r="V91">
        <v>172.1</v>
      </c>
      <c r="W91">
        <v>181.1</v>
      </c>
      <c r="X91">
        <v>175.8</v>
      </c>
      <c r="Y91">
        <v>174.1</v>
      </c>
      <c r="Z91">
        <v>168.9</v>
      </c>
      <c r="AA91">
        <v>163.4</v>
      </c>
      <c r="AB91">
        <v>172</v>
      </c>
    </row>
    <row r="92" spans="1:28" x14ac:dyDescent="0.3">
      <c r="A92" s="23">
        <v>44927</v>
      </c>
      <c r="B92" s="18">
        <v>80.922269684210534</v>
      </c>
      <c r="C92">
        <v>173.8</v>
      </c>
      <c r="D92">
        <v>210.7</v>
      </c>
      <c r="E92">
        <v>194.5</v>
      </c>
      <c r="F92">
        <v>174.6</v>
      </c>
      <c r="G92">
        <v>187.2</v>
      </c>
      <c r="H92">
        <v>158.30000000000001</v>
      </c>
      <c r="I92">
        <v>153.9</v>
      </c>
      <c r="J92">
        <v>170.9</v>
      </c>
      <c r="K92">
        <v>121.1</v>
      </c>
      <c r="L92">
        <v>208.4</v>
      </c>
      <c r="M92">
        <v>171.4</v>
      </c>
      <c r="N92">
        <v>191.2</v>
      </c>
      <c r="O92">
        <v>176.7</v>
      </c>
      <c r="P92">
        <v>198.2</v>
      </c>
      <c r="Q92">
        <v>184.9</v>
      </c>
      <c r="R92">
        <v>177.6</v>
      </c>
      <c r="S92">
        <v>183.8</v>
      </c>
      <c r="T92">
        <v>172.1</v>
      </c>
      <c r="U92">
        <v>182</v>
      </c>
      <c r="V92">
        <v>172.9</v>
      </c>
      <c r="W92">
        <v>182.3</v>
      </c>
      <c r="X92">
        <v>178.6</v>
      </c>
      <c r="Y92">
        <v>174.3</v>
      </c>
      <c r="Z92">
        <v>169.5</v>
      </c>
      <c r="AA92">
        <v>163.6</v>
      </c>
      <c r="AB92">
        <v>172.8</v>
      </c>
    </row>
    <row r="93" spans="1:28" x14ac:dyDescent="0.3">
      <c r="A93" s="23">
        <v>44958</v>
      </c>
      <c r="B93" s="18">
        <v>82.278706675000009</v>
      </c>
      <c r="C93">
        <v>174.4</v>
      </c>
      <c r="D93">
        <v>207.7</v>
      </c>
      <c r="E93">
        <v>175.2</v>
      </c>
      <c r="F93">
        <v>177.3</v>
      </c>
      <c r="G93">
        <v>179.3</v>
      </c>
      <c r="H93">
        <v>169.5</v>
      </c>
      <c r="I93">
        <v>152.69999999999999</v>
      </c>
      <c r="J93">
        <v>171</v>
      </c>
      <c r="K93">
        <v>120</v>
      </c>
      <c r="L93">
        <v>209.7</v>
      </c>
      <c r="M93">
        <v>172.3</v>
      </c>
      <c r="N93">
        <v>193</v>
      </c>
      <c r="O93">
        <v>177</v>
      </c>
      <c r="P93">
        <v>199.5</v>
      </c>
      <c r="Q93">
        <v>186.2</v>
      </c>
      <c r="R93">
        <v>178.7</v>
      </c>
      <c r="S93">
        <v>185.1</v>
      </c>
      <c r="T93">
        <v>173.5</v>
      </c>
      <c r="U93">
        <v>182.1</v>
      </c>
      <c r="V93">
        <v>174.2</v>
      </c>
      <c r="W93">
        <v>184.4</v>
      </c>
      <c r="X93">
        <v>181</v>
      </c>
      <c r="Y93">
        <v>175</v>
      </c>
      <c r="Z93">
        <v>170.3</v>
      </c>
      <c r="AA93">
        <v>164.2</v>
      </c>
      <c r="AB93">
        <v>174.1</v>
      </c>
    </row>
    <row r="94" spans="1:28" x14ac:dyDescent="0.3">
      <c r="A94" s="23">
        <v>44986</v>
      </c>
      <c r="B94" s="18">
        <v>78.539480282608693</v>
      </c>
      <c r="C94">
        <v>174.4</v>
      </c>
      <c r="D94">
        <v>207.7</v>
      </c>
      <c r="E94">
        <v>175.2</v>
      </c>
      <c r="F94">
        <v>177.3</v>
      </c>
      <c r="G94">
        <v>179.2</v>
      </c>
      <c r="H94">
        <v>169.5</v>
      </c>
      <c r="I94">
        <v>152.80000000000001</v>
      </c>
      <c r="J94">
        <v>171.1</v>
      </c>
      <c r="K94">
        <v>120</v>
      </c>
      <c r="L94">
        <v>209.7</v>
      </c>
      <c r="M94">
        <v>172.3</v>
      </c>
      <c r="N94">
        <v>193</v>
      </c>
      <c r="O94">
        <v>177</v>
      </c>
      <c r="P94">
        <v>199.5</v>
      </c>
      <c r="Q94">
        <v>186.1</v>
      </c>
      <c r="R94">
        <v>178.7</v>
      </c>
      <c r="S94">
        <v>185.1</v>
      </c>
      <c r="T94">
        <v>173.5</v>
      </c>
      <c r="U94">
        <v>181.9</v>
      </c>
      <c r="V94">
        <v>174.2</v>
      </c>
      <c r="W94">
        <v>184.4</v>
      </c>
      <c r="X94">
        <v>181</v>
      </c>
      <c r="Y94">
        <v>175</v>
      </c>
      <c r="Z94">
        <v>170.3</v>
      </c>
      <c r="AA94">
        <v>164.2</v>
      </c>
      <c r="AB94">
        <v>174.1</v>
      </c>
    </row>
    <row r="95" spans="1:28" x14ac:dyDescent="0.3">
      <c r="A95" s="23">
        <v>45017</v>
      </c>
      <c r="B95" s="18">
        <v>83.755358416666667</v>
      </c>
      <c r="C95">
        <v>173.8</v>
      </c>
      <c r="D95">
        <v>209.3</v>
      </c>
      <c r="E95">
        <v>169.6</v>
      </c>
      <c r="F95">
        <v>178.4</v>
      </c>
      <c r="G95">
        <v>174.9</v>
      </c>
      <c r="H95">
        <v>176.3</v>
      </c>
      <c r="I95">
        <v>155.4</v>
      </c>
      <c r="J95">
        <v>173.4</v>
      </c>
      <c r="K95">
        <v>121.3</v>
      </c>
      <c r="L95">
        <v>212.9</v>
      </c>
      <c r="M95">
        <v>172.9</v>
      </c>
      <c r="N95">
        <v>193.5</v>
      </c>
      <c r="O95">
        <v>177.9</v>
      </c>
      <c r="P95">
        <v>200.6</v>
      </c>
      <c r="Q95">
        <v>186.9</v>
      </c>
      <c r="R95">
        <v>179.2</v>
      </c>
      <c r="S95">
        <v>185.7</v>
      </c>
      <c r="T95">
        <v>175.2</v>
      </c>
      <c r="U95">
        <v>181.7</v>
      </c>
      <c r="V95">
        <v>174.6</v>
      </c>
      <c r="W95">
        <v>185</v>
      </c>
      <c r="X95">
        <v>184</v>
      </c>
      <c r="Y95">
        <v>176.4</v>
      </c>
      <c r="Z95">
        <v>170.7</v>
      </c>
      <c r="AA95">
        <v>164.5</v>
      </c>
      <c r="AB95">
        <v>175</v>
      </c>
    </row>
    <row r="96" spans="1:28" x14ac:dyDescent="0.3">
      <c r="A96" s="23">
        <v>45047</v>
      </c>
      <c r="B96">
        <v>74.981547824999993</v>
      </c>
      <c r="C96">
        <v>173.7</v>
      </c>
      <c r="D96">
        <v>214.3</v>
      </c>
      <c r="E96">
        <v>173.2</v>
      </c>
      <c r="F96">
        <v>179.5</v>
      </c>
      <c r="G96">
        <v>170</v>
      </c>
      <c r="H96">
        <v>172.2</v>
      </c>
      <c r="I96">
        <v>161</v>
      </c>
      <c r="J96">
        <v>175.6</v>
      </c>
      <c r="K96">
        <v>122.7</v>
      </c>
      <c r="L96">
        <v>218</v>
      </c>
      <c r="M96">
        <v>173.4</v>
      </c>
      <c r="N96">
        <v>194.2</v>
      </c>
      <c r="O96">
        <v>179.1</v>
      </c>
      <c r="P96">
        <v>201</v>
      </c>
      <c r="Q96">
        <v>187.3</v>
      </c>
      <c r="R96">
        <v>179.7</v>
      </c>
      <c r="S96">
        <v>186.2</v>
      </c>
      <c r="T96">
        <v>175.6</v>
      </c>
      <c r="U96">
        <v>182.8</v>
      </c>
      <c r="V96">
        <v>175.2</v>
      </c>
      <c r="W96">
        <v>185.7</v>
      </c>
      <c r="X96">
        <v>185.2</v>
      </c>
      <c r="Y96">
        <v>177.1</v>
      </c>
      <c r="Z96">
        <v>171.2</v>
      </c>
      <c r="AA96">
        <v>164.8</v>
      </c>
      <c r="AB96">
        <v>175.7</v>
      </c>
    </row>
    <row r="98" spans="1:28" ht="15.6" x14ac:dyDescent="0.3">
      <c r="A98" s="17" t="s">
        <v>133</v>
      </c>
      <c r="C98" s="57">
        <f>CORREL($B$71:$B$96,C71:C96)</f>
        <v>9.8634814329868925E-2</v>
      </c>
      <c r="D98" s="57">
        <f>CORREL($B$71:$B$96,D71:D96)</f>
        <v>0.67992538398614677</v>
      </c>
      <c r="E98" s="57">
        <f t="shared" ref="E98:AB98" si="2">CORREL($B$71:$B$96,E71:E96)</f>
        <v>-0.3315438046505565</v>
      </c>
      <c r="F98" s="57">
        <f>CORREL($B$71:$B$96,F71:F96)</f>
        <v>0.18126116174418991</v>
      </c>
      <c r="G98" s="57">
        <f t="shared" si="2"/>
        <v>0.75879920089049413</v>
      </c>
      <c r="H98" s="57">
        <f t="shared" si="2"/>
        <v>0.29443288902942161</v>
      </c>
      <c r="I98" s="57">
        <f>CORREL($B$71:$B$96,I71:I96)</f>
        <v>0.44913950476419168</v>
      </c>
      <c r="J98" s="57">
        <f t="shared" si="2"/>
        <v>-0.12939252473711171</v>
      </c>
      <c r="K98" s="57">
        <f t="shared" si="2"/>
        <v>0.29673944922670309</v>
      </c>
      <c r="L98" s="57">
        <f t="shared" si="2"/>
        <v>0.1826393770131538</v>
      </c>
      <c r="M98" s="57">
        <f t="shared" si="2"/>
        <v>0.34204292757843463</v>
      </c>
      <c r="N98" s="57">
        <f t="shared" si="2"/>
        <v>0.30194792204277632</v>
      </c>
      <c r="O98" s="57">
        <f t="shared" si="2"/>
        <v>0.43280544153514777</v>
      </c>
      <c r="P98" s="57">
        <f t="shared" si="2"/>
        <v>0.14932219704278443</v>
      </c>
      <c r="Q98" s="57">
        <f t="shared" si="2"/>
        <v>0.3458430911640441</v>
      </c>
      <c r="R98" s="57">
        <f t="shared" si="2"/>
        <v>0.38937865925155157</v>
      </c>
      <c r="S98" s="57">
        <f t="shared" si="2"/>
        <v>0.35337628090977957</v>
      </c>
      <c r="T98" s="57">
        <f t="shared" si="2"/>
        <v>0.23713189120949721</v>
      </c>
      <c r="U98" s="57">
        <f t="shared" si="2"/>
        <v>0.39522370384457084</v>
      </c>
      <c r="V98" s="57">
        <f t="shared" si="2"/>
        <v>0.32600399207389968</v>
      </c>
      <c r="W98" s="57">
        <f t="shared" si="2"/>
        <v>0.27018090587929267</v>
      </c>
      <c r="X98" s="57">
        <f t="shared" si="2"/>
        <v>0.2301848202369696</v>
      </c>
      <c r="Y98" s="57">
        <f t="shared" si="2"/>
        <v>0.26029261296803224</v>
      </c>
      <c r="Z98" s="57">
        <f t="shared" si="2"/>
        <v>0.42044385053311606</v>
      </c>
      <c r="AA98" s="57">
        <f>CORREL($B$71:$B$96,AA71:AA96)</f>
        <v>0.51557042552906418</v>
      </c>
      <c r="AB98" s="57">
        <f t="shared" si="2"/>
        <v>0.35047898033301006</v>
      </c>
    </row>
    <row r="101" spans="1:28" ht="22.8" customHeight="1" x14ac:dyDescent="0.3">
      <c r="A101" s="93" t="s">
        <v>134</v>
      </c>
      <c r="B101" s="93"/>
      <c r="C101" s="93"/>
      <c r="D101" s="93"/>
    </row>
    <row r="102" spans="1:28" ht="15.6" x14ac:dyDescent="0.3">
      <c r="A102" s="61" t="s">
        <v>123</v>
      </c>
      <c r="B102" s="61" t="s">
        <v>27</v>
      </c>
      <c r="C102" s="61" t="s">
        <v>29</v>
      </c>
      <c r="D102" s="61" t="s">
        <v>122</v>
      </c>
    </row>
    <row r="103" spans="1:28" x14ac:dyDescent="0.3">
      <c r="A103" s="46" t="s">
        <v>3</v>
      </c>
      <c r="B103" s="58">
        <v>9.517783971742598E-2</v>
      </c>
      <c r="C103" s="58">
        <v>0.1120984643229099</v>
      </c>
      <c r="D103" s="58">
        <v>9.8634814329868925E-2</v>
      </c>
    </row>
    <row r="104" spans="1:28" x14ac:dyDescent="0.3">
      <c r="A104" s="60" t="s">
        <v>4</v>
      </c>
      <c r="B104" s="59">
        <v>0.67992492423857931</v>
      </c>
      <c r="C104" s="59">
        <v>0.678975852644641</v>
      </c>
      <c r="D104" s="59">
        <v>0.67992538398614677</v>
      </c>
    </row>
    <row r="105" spans="1:28" x14ac:dyDescent="0.3">
      <c r="A105" s="46" t="s">
        <v>5</v>
      </c>
      <c r="B105" s="59">
        <v>-0.32345910218262292</v>
      </c>
      <c r="C105" s="59">
        <v>-0.37582174905936233</v>
      </c>
      <c r="D105" s="59">
        <v>-0.3315438046505565</v>
      </c>
    </row>
    <row r="106" spans="1:28" x14ac:dyDescent="0.3">
      <c r="A106" s="46" t="s">
        <v>6</v>
      </c>
      <c r="B106" s="59">
        <v>0.1843566445832085</v>
      </c>
      <c r="C106" s="59">
        <v>0.17895777633744342</v>
      </c>
      <c r="D106" s="59">
        <v>0.18126116174418991</v>
      </c>
    </row>
    <row r="107" spans="1:28" x14ac:dyDescent="0.3">
      <c r="A107" s="60" t="s">
        <v>7</v>
      </c>
      <c r="B107" s="59">
        <v>0.73976511931188638</v>
      </c>
      <c r="C107" s="59">
        <v>0.80561160892489603</v>
      </c>
      <c r="D107" s="59">
        <v>0.75879920089049413</v>
      </c>
    </row>
    <row r="108" spans="1:28" x14ac:dyDescent="0.3">
      <c r="A108" s="46" t="s">
        <v>8</v>
      </c>
      <c r="B108" s="59">
        <v>0.33889935671978894</v>
      </c>
      <c r="C108" s="59">
        <v>0.2258299892928308</v>
      </c>
      <c r="D108" s="59">
        <v>0.29443288902942161</v>
      </c>
    </row>
    <row r="109" spans="1:28" x14ac:dyDescent="0.3">
      <c r="A109" s="46" t="s">
        <v>9</v>
      </c>
      <c r="B109" s="59">
        <v>0.42619217967286926</v>
      </c>
      <c r="C109" s="59">
        <v>0.46663722395581914</v>
      </c>
      <c r="D109" s="59">
        <v>0.44913950476419168</v>
      </c>
    </row>
    <row r="110" spans="1:28" x14ac:dyDescent="0.3">
      <c r="A110" s="46" t="s">
        <v>10</v>
      </c>
      <c r="B110" s="59">
        <v>-5.3420409199749601E-2</v>
      </c>
      <c r="C110" s="59">
        <v>-0.22967593983834458</v>
      </c>
      <c r="D110" s="59">
        <v>-0.12939252473711171</v>
      </c>
    </row>
    <row r="111" spans="1:28" x14ac:dyDescent="0.3">
      <c r="A111" s="46" t="s">
        <v>11</v>
      </c>
      <c r="B111" s="59">
        <v>0.32291520156712294</v>
      </c>
      <c r="C111" s="59">
        <v>0.34463437264205254</v>
      </c>
      <c r="D111" s="59">
        <v>0.29673944922670309</v>
      </c>
    </row>
    <row r="112" spans="1:28" x14ac:dyDescent="0.3">
      <c r="A112" s="46" t="s">
        <v>12</v>
      </c>
      <c r="B112" s="59">
        <v>0.18137325821539677</v>
      </c>
      <c r="C112" s="59">
        <v>0.18601057156414527</v>
      </c>
      <c r="D112" s="59">
        <v>0.1826393770131538</v>
      </c>
    </row>
    <row r="113" spans="1:6" x14ac:dyDescent="0.3">
      <c r="A113" s="46" t="s">
        <v>47</v>
      </c>
      <c r="B113" s="59">
        <v>0.40587295569384702</v>
      </c>
      <c r="C113" s="59">
        <v>0.251367457408188</v>
      </c>
      <c r="D113" s="59">
        <v>0.34204292757843463</v>
      </c>
    </row>
    <row r="114" spans="1:6" x14ac:dyDescent="0.3">
      <c r="A114" s="46" t="s">
        <v>45</v>
      </c>
      <c r="B114" s="59">
        <v>0.30819824254880357</v>
      </c>
      <c r="C114" s="59">
        <v>0.30080066329796079</v>
      </c>
      <c r="D114" s="59">
        <v>0.30194792204277632</v>
      </c>
    </row>
    <row r="115" spans="1:6" ht="15.6" customHeight="1" x14ac:dyDescent="0.3">
      <c r="A115" s="46" t="s">
        <v>13</v>
      </c>
      <c r="B115" s="59">
        <v>0.42284747791897515</v>
      </c>
      <c r="C115" s="59">
        <v>0.45071878106778407</v>
      </c>
      <c r="D115" s="59">
        <v>0.43280544153514777</v>
      </c>
      <c r="F115" s="13"/>
    </row>
    <row r="116" spans="1:6" x14ac:dyDescent="0.3">
      <c r="A116" s="46" t="s">
        <v>14</v>
      </c>
      <c r="B116" s="59">
        <v>0.1840823165563058</v>
      </c>
      <c r="C116" s="59">
        <v>4.413276958581995E-2</v>
      </c>
      <c r="D116" s="59">
        <v>0.14932219704278443</v>
      </c>
    </row>
    <row r="117" spans="1:6" x14ac:dyDescent="0.3">
      <c r="A117" s="46" t="s">
        <v>15</v>
      </c>
      <c r="B117" s="59">
        <v>0.35039561873965208</v>
      </c>
      <c r="C117" s="59">
        <v>0.34214302772737376</v>
      </c>
      <c r="D117" s="59">
        <v>0.3458430911640441</v>
      </c>
    </row>
    <row r="118" spans="1:6" x14ac:dyDescent="0.3">
      <c r="A118" s="46" t="s">
        <v>16</v>
      </c>
      <c r="B118" s="59">
        <v>0.40988870997765542</v>
      </c>
      <c r="C118" s="59">
        <v>0.3612979706086154</v>
      </c>
      <c r="D118" s="59">
        <v>0.38937865925155157</v>
      </c>
    </row>
    <row r="119" spans="1:6" x14ac:dyDescent="0.3">
      <c r="A119" s="46" t="s">
        <v>17</v>
      </c>
      <c r="B119" s="59">
        <v>0.3593037776494043</v>
      </c>
      <c r="C119" s="59">
        <v>0.34526176363818784</v>
      </c>
      <c r="D119" s="59">
        <v>0.35337628090977957</v>
      </c>
    </row>
    <row r="120" spans="1:6" x14ac:dyDescent="0.3">
      <c r="A120" s="46" t="s">
        <v>18</v>
      </c>
      <c r="B120" s="59">
        <v>0.23713189120949721</v>
      </c>
      <c r="C120" s="59">
        <v>0.23713189120949721</v>
      </c>
      <c r="D120" s="59">
        <v>0.23713189120949721</v>
      </c>
    </row>
    <row r="121" spans="1:6" x14ac:dyDescent="0.3">
      <c r="A121" s="46" t="s">
        <v>19</v>
      </c>
      <c r="B121" s="59">
        <v>0.40977216366097546</v>
      </c>
      <c r="C121" s="59">
        <v>0.37807201489532255</v>
      </c>
      <c r="D121" s="59">
        <v>0.39522370384457084</v>
      </c>
    </row>
    <row r="122" spans="1:6" x14ac:dyDescent="0.3">
      <c r="A122" s="46" t="s">
        <v>20</v>
      </c>
      <c r="B122" s="59">
        <v>0.30660101768569331</v>
      </c>
      <c r="C122" s="59">
        <v>0.35181594296036034</v>
      </c>
      <c r="D122" s="59">
        <v>0.32600399207389968</v>
      </c>
    </row>
    <row r="123" spans="1:6" x14ac:dyDescent="0.3">
      <c r="A123" s="46" t="s">
        <v>21</v>
      </c>
      <c r="B123" s="59">
        <v>0.27660394713950975</v>
      </c>
      <c r="C123" s="59">
        <v>0.26656611635452054</v>
      </c>
      <c r="D123" s="59">
        <v>0.27018090587929267</v>
      </c>
    </row>
    <row r="124" spans="1:6" x14ac:dyDescent="0.3">
      <c r="A124" s="46" t="s">
        <v>46</v>
      </c>
      <c r="B124" s="59">
        <v>0.23533617512180396</v>
      </c>
      <c r="C124" s="59">
        <v>0.22095711909562235</v>
      </c>
      <c r="D124" s="59">
        <v>0.2301848202369696</v>
      </c>
    </row>
    <row r="125" spans="1:6" x14ac:dyDescent="0.3">
      <c r="A125" s="46" t="s">
        <v>24</v>
      </c>
      <c r="B125" s="59">
        <v>0.24735977404230397</v>
      </c>
      <c r="C125" s="59">
        <v>0.27327717518229311</v>
      </c>
      <c r="D125" s="59">
        <v>0.26029261296803224</v>
      </c>
    </row>
    <row r="126" spans="1:6" x14ac:dyDescent="0.3">
      <c r="A126" s="46" t="s">
        <v>23</v>
      </c>
      <c r="B126" s="59">
        <v>0.37275750177507344</v>
      </c>
      <c r="C126" s="59">
        <v>0.44989559354085079</v>
      </c>
      <c r="D126" s="59">
        <v>0.42044385053311606</v>
      </c>
    </row>
    <row r="127" spans="1:6" x14ac:dyDescent="0.3">
      <c r="A127" s="60" t="s">
        <v>22</v>
      </c>
      <c r="B127" s="59">
        <v>0.49646430328725349</v>
      </c>
      <c r="C127" s="59">
        <v>0.53583549947068165</v>
      </c>
      <c r="D127" s="59">
        <v>0.51557042552906418</v>
      </c>
    </row>
    <row r="128" spans="1:6" x14ac:dyDescent="0.3">
      <c r="A128" s="46" t="s">
        <v>25</v>
      </c>
      <c r="B128" s="59">
        <v>0.33466632734967688</v>
      </c>
      <c r="C128" s="59">
        <v>0.36683885506545372</v>
      </c>
      <c r="D128" s="59">
        <v>0.35047898033301006</v>
      </c>
    </row>
    <row r="131" spans="1:1" ht="15.6" x14ac:dyDescent="0.3">
      <c r="A131" s="13" t="s">
        <v>138</v>
      </c>
    </row>
  </sheetData>
  <mergeCells count="3">
    <mergeCell ref="A35:AB35"/>
    <mergeCell ref="A68:AB68"/>
    <mergeCell ref="A101:D101"/>
  </mergeCells>
  <conditionalFormatting sqref="B103:B128">
    <cfRule type="top10" dxfId="10" priority="3" rank="3"/>
    <cfRule type="top10" dxfId="9" priority="4" rank="1"/>
  </conditionalFormatting>
  <conditionalFormatting sqref="C103:C128">
    <cfRule type="top10" dxfId="8" priority="2" rank="3"/>
  </conditionalFormatting>
  <conditionalFormatting sqref="C5:AB30">
    <cfRule type="containsText" dxfId="7" priority="7" operator="containsText" text="&quot;blanks&quot;">
      <formula>NOT(ISERROR(SEARCH("""blanks""",C5)))</formula>
    </cfRule>
  </conditionalFormatting>
  <conditionalFormatting sqref="C38:AB63">
    <cfRule type="containsText" dxfId="6" priority="6" operator="containsText" text="&quot;blanks&quot;">
      <formula>NOT(ISERROR(SEARCH("""blanks""",C38)))</formula>
    </cfRule>
  </conditionalFormatting>
  <conditionalFormatting sqref="C71:AB96">
    <cfRule type="containsText" dxfId="5" priority="5" operator="containsText" text="&quot;blanks&quot;">
      <formula>NOT(ISERROR(SEARCH("""blanks""",C71)))</formula>
    </cfRule>
  </conditionalFormatting>
  <conditionalFormatting sqref="D102:D128">
    <cfRule type="top10" dxfId="4" priority="1" rank="3"/>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A771-8F0F-44A8-B837-4BF7E368F335}">
  <dimension ref="A1:AI373"/>
  <sheetViews>
    <sheetView tabSelected="1" workbookViewId="0">
      <selection activeCell="E25" sqref="E25"/>
    </sheetView>
  </sheetViews>
  <sheetFormatPr defaultRowHeight="14.4" x14ac:dyDescent="0.3"/>
  <cols>
    <col min="1" max="1" width="8.5546875" bestFit="1" customWidth="1"/>
    <col min="2" max="2" width="6.88671875" bestFit="1" customWidth="1"/>
    <col min="3" max="3" width="9" bestFit="1" customWidth="1"/>
    <col min="4" max="4" width="16.21875" bestFit="1" customWidth="1"/>
    <col min="5" max="5" width="21" bestFit="1" customWidth="1"/>
    <col min="6" max="6" width="14.77734375" bestFit="1" customWidth="1"/>
    <col min="7" max="7" width="6.21875" bestFit="1" customWidth="1"/>
    <col min="8" max="8" width="18.5546875" bestFit="1" customWidth="1"/>
    <col min="9" max="9" width="13.44140625" bestFit="1" customWidth="1"/>
    <col min="10" max="10" width="7.77734375" bestFit="1" customWidth="1"/>
    <col min="11" max="11" width="12.44140625" bestFit="1" customWidth="1"/>
    <col min="12" max="12" width="20.21875" bestFit="1" customWidth="1"/>
    <col min="13" max="13" width="24.33203125" bestFit="1" customWidth="1"/>
    <col min="14" max="14" width="8.44140625" bestFit="1" customWidth="1"/>
    <col min="15" max="15" width="23.5546875" bestFit="1" customWidth="1"/>
    <col min="16" max="16" width="31.33203125" bestFit="1" customWidth="1"/>
    <col min="17" max="17" width="20.33203125" bestFit="1" customWidth="1"/>
    <col min="18" max="18" width="27.88671875" customWidth="1"/>
    <col min="19" max="19" width="10.21875" customWidth="1"/>
    <col min="20" max="20" width="11.109375" customWidth="1"/>
    <col min="21" max="21" width="22.21875" customWidth="1"/>
    <col min="22" max="22" width="10" customWidth="1"/>
    <col min="23" max="23" width="14.44140625" customWidth="1"/>
    <col min="24" max="24" width="28.88671875" customWidth="1"/>
    <col min="25" max="25" width="8.6640625" customWidth="1"/>
    <col min="26" max="26" width="22.33203125" bestFit="1" customWidth="1"/>
    <col min="27" max="27" width="11.6640625" customWidth="1"/>
    <col min="28" max="28" width="26.6640625" customWidth="1"/>
    <col min="29" max="29" width="29.109375" customWidth="1"/>
    <col min="30" max="30" width="15.109375" bestFit="1" customWidth="1"/>
    <col min="31" max="31" width="14.6640625" bestFit="1" customWidth="1"/>
  </cols>
  <sheetData>
    <row r="1" spans="1:31" x14ac:dyDescent="0.3">
      <c r="A1" s="1" t="s">
        <v>0</v>
      </c>
      <c r="B1" s="1" t="s">
        <v>1</v>
      </c>
      <c r="C1" s="1" t="s">
        <v>2</v>
      </c>
      <c r="D1" s="1" t="s">
        <v>62</v>
      </c>
      <c r="E1" s="1" t="s">
        <v>3</v>
      </c>
      <c r="F1" s="1" t="s">
        <v>4</v>
      </c>
      <c r="G1" s="1" t="s">
        <v>5</v>
      </c>
      <c r="H1" s="1" t="s">
        <v>6</v>
      </c>
      <c r="I1" s="1" t="s">
        <v>7</v>
      </c>
      <c r="J1" s="1" t="s">
        <v>8</v>
      </c>
      <c r="K1" s="1" t="s">
        <v>9</v>
      </c>
      <c r="L1" s="1" t="s">
        <v>10</v>
      </c>
      <c r="M1" s="1" t="s">
        <v>11</v>
      </c>
      <c r="N1" s="1" t="s">
        <v>12</v>
      </c>
      <c r="O1" s="1" t="s">
        <v>47</v>
      </c>
      <c r="P1" s="1" t="s">
        <v>45</v>
      </c>
      <c r="Q1" s="1" t="s">
        <v>13</v>
      </c>
      <c r="R1" s="1" t="s">
        <v>14</v>
      </c>
      <c r="S1" s="1" t="s">
        <v>15</v>
      </c>
      <c r="T1" s="1" t="s">
        <v>16</v>
      </c>
      <c r="U1" s="1" t="s">
        <v>17</v>
      </c>
      <c r="V1" s="1" t="s">
        <v>18</v>
      </c>
      <c r="W1" s="1" t="s">
        <v>19</v>
      </c>
      <c r="X1" s="1" t="s">
        <v>20</v>
      </c>
      <c r="Y1" s="1" t="s">
        <v>21</v>
      </c>
      <c r="Z1" s="1" t="s">
        <v>46</v>
      </c>
      <c r="AA1" s="1" t="s">
        <v>24</v>
      </c>
      <c r="AB1" s="1" t="s">
        <v>23</v>
      </c>
      <c r="AC1" s="1" t="s">
        <v>22</v>
      </c>
      <c r="AD1" s="1" t="s">
        <v>25</v>
      </c>
      <c r="AE1" s="1" t="s">
        <v>26</v>
      </c>
    </row>
    <row r="2" spans="1:31" x14ac:dyDescent="0.3">
      <c r="A2" t="s">
        <v>27</v>
      </c>
      <c r="B2">
        <v>2013</v>
      </c>
      <c r="C2" t="s">
        <v>28</v>
      </c>
      <c r="D2">
        <f>IF(C2="January",1,
IF(C2="february",2,
IF(C2="march",3,
IF(C2="april",4,
IF(C2="may",5,
IF(C2="june",6,
IF(C2="july",7,
IF(C2="august",8,
IF(C2="september",9,
IF(C2="october",10,
IF(C2="november",11,
IF(C2="december",12,
))))))))))))</f>
        <v>1</v>
      </c>
      <c r="E2">
        <v>107.5</v>
      </c>
      <c r="F2">
        <v>106.3</v>
      </c>
      <c r="G2">
        <v>108.1</v>
      </c>
      <c r="H2">
        <v>104.9</v>
      </c>
      <c r="I2">
        <v>106.1</v>
      </c>
      <c r="J2">
        <v>103.9</v>
      </c>
      <c r="K2">
        <v>101.9</v>
      </c>
      <c r="L2">
        <v>106.1</v>
      </c>
      <c r="M2">
        <v>106.8</v>
      </c>
      <c r="N2">
        <v>103.1</v>
      </c>
      <c r="O2">
        <v>104.8</v>
      </c>
      <c r="P2">
        <v>106.7</v>
      </c>
      <c r="Q2">
        <v>105.5</v>
      </c>
      <c r="R2">
        <v>105.1</v>
      </c>
      <c r="S2">
        <v>106.5</v>
      </c>
      <c r="T2">
        <v>105.8</v>
      </c>
      <c r="U2">
        <v>106.4</v>
      </c>
      <c r="V2" s="2">
        <f>'Missing values'!V7</f>
        <v>100.3</v>
      </c>
      <c r="W2">
        <v>105.5</v>
      </c>
      <c r="X2">
        <v>104.8</v>
      </c>
      <c r="Y2">
        <v>104</v>
      </c>
      <c r="Z2">
        <v>104.7</v>
      </c>
      <c r="AA2">
        <v>103.8</v>
      </c>
      <c r="AB2">
        <v>103.4</v>
      </c>
      <c r="AC2">
        <v>103.3</v>
      </c>
      <c r="AD2">
        <v>104</v>
      </c>
      <c r="AE2">
        <v>105.1</v>
      </c>
    </row>
    <row r="3" spans="1:31" x14ac:dyDescent="0.3">
      <c r="A3" t="s">
        <v>30</v>
      </c>
      <c r="B3">
        <v>2013</v>
      </c>
      <c r="C3" t="s">
        <v>28</v>
      </c>
      <c r="D3">
        <f t="shared" ref="D3:D31" si="0">IF(C3="January",1,
IF(C3="february",2,
IF(C3="march",3,
IF(C3="april",4,
IF(C3="may",5,
IF(C3="june",6,
IF(C3="july",7,
IF(C3="august",8,
IF(C3="september",9,
IF(C3="october",10,
IF(C3="november",11,
IF(C3="december",12,
))))))))))))</f>
        <v>1</v>
      </c>
      <c r="E3">
        <v>108.4</v>
      </c>
      <c r="F3">
        <v>107.3</v>
      </c>
      <c r="G3">
        <v>110</v>
      </c>
      <c r="H3">
        <v>104.4</v>
      </c>
      <c r="I3">
        <v>105.1</v>
      </c>
      <c r="J3">
        <v>103.2</v>
      </c>
      <c r="K3">
        <v>102.2</v>
      </c>
      <c r="L3">
        <v>106</v>
      </c>
      <c r="M3">
        <v>106.2</v>
      </c>
      <c r="N3">
        <v>102.7</v>
      </c>
      <c r="O3">
        <v>104.9</v>
      </c>
      <c r="P3">
        <v>107.3</v>
      </c>
      <c r="Q3">
        <v>105.6</v>
      </c>
      <c r="R3">
        <v>105.1</v>
      </c>
      <c r="S3">
        <v>106.3</v>
      </c>
      <c r="T3">
        <v>105.5</v>
      </c>
      <c r="U3">
        <v>106.2</v>
      </c>
      <c r="V3">
        <v>100.3</v>
      </c>
      <c r="W3">
        <v>105.5</v>
      </c>
      <c r="X3">
        <v>104.8</v>
      </c>
      <c r="Y3">
        <v>104</v>
      </c>
      <c r="Z3">
        <v>104.5</v>
      </c>
      <c r="AA3">
        <v>103.6</v>
      </c>
      <c r="AB3">
        <v>103.1</v>
      </c>
      <c r="AC3">
        <v>103.2</v>
      </c>
      <c r="AD3">
        <v>103.9</v>
      </c>
      <c r="AE3">
        <v>104.6</v>
      </c>
    </row>
    <row r="4" spans="1:31" x14ac:dyDescent="0.3">
      <c r="A4" t="s">
        <v>29</v>
      </c>
      <c r="B4">
        <v>2013</v>
      </c>
      <c r="C4" t="s">
        <v>28</v>
      </c>
      <c r="D4">
        <f t="shared" si="0"/>
        <v>1</v>
      </c>
      <c r="E4">
        <v>110.5</v>
      </c>
      <c r="F4">
        <v>109.1</v>
      </c>
      <c r="G4">
        <v>113</v>
      </c>
      <c r="H4">
        <v>103.6</v>
      </c>
      <c r="I4">
        <v>103.4</v>
      </c>
      <c r="J4">
        <v>102.3</v>
      </c>
      <c r="K4">
        <v>102.9</v>
      </c>
      <c r="L4">
        <v>105.8</v>
      </c>
      <c r="M4">
        <v>105.1</v>
      </c>
      <c r="N4">
        <v>101.8</v>
      </c>
      <c r="O4">
        <v>105.1</v>
      </c>
      <c r="P4">
        <v>107.9</v>
      </c>
      <c r="Q4">
        <v>105.9</v>
      </c>
      <c r="R4">
        <v>105.2</v>
      </c>
      <c r="S4">
        <v>105.9</v>
      </c>
      <c r="T4">
        <v>105</v>
      </c>
      <c r="U4">
        <v>105.8</v>
      </c>
      <c r="V4">
        <v>100.3</v>
      </c>
      <c r="W4">
        <v>105.4</v>
      </c>
      <c r="X4">
        <v>104.8</v>
      </c>
      <c r="Y4">
        <v>104.1</v>
      </c>
      <c r="Z4">
        <v>104.3</v>
      </c>
      <c r="AA4">
        <v>103.5</v>
      </c>
      <c r="AB4">
        <v>102.9</v>
      </c>
      <c r="AC4">
        <v>103.2</v>
      </c>
      <c r="AD4">
        <v>103.7</v>
      </c>
      <c r="AE4">
        <v>104</v>
      </c>
    </row>
    <row r="5" spans="1:31" x14ac:dyDescent="0.3">
      <c r="A5" t="s">
        <v>27</v>
      </c>
      <c r="B5">
        <v>2013</v>
      </c>
      <c r="C5" t="s">
        <v>31</v>
      </c>
      <c r="D5">
        <f t="shared" si="0"/>
        <v>2</v>
      </c>
      <c r="E5">
        <v>109.2</v>
      </c>
      <c r="F5">
        <v>108.7</v>
      </c>
      <c r="G5">
        <v>110.2</v>
      </c>
      <c r="H5">
        <v>105.4</v>
      </c>
      <c r="I5">
        <v>106.7</v>
      </c>
      <c r="J5">
        <v>104</v>
      </c>
      <c r="K5">
        <v>102.4</v>
      </c>
      <c r="L5">
        <v>105.9</v>
      </c>
      <c r="M5">
        <v>105.7</v>
      </c>
      <c r="N5">
        <v>103.1</v>
      </c>
      <c r="O5">
        <v>105.1</v>
      </c>
      <c r="P5">
        <v>107.7</v>
      </c>
      <c r="Q5">
        <v>106.3</v>
      </c>
      <c r="R5">
        <v>105.6</v>
      </c>
      <c r="S5">
        <v>107.1</v>
      </c>
      <c r="T5">
        <v>106.3</v>
      </c>
      <c r="U5">
        <v>107</v>
      </c>
      <c r="V5" s="2">
        <f>'Missing values'!V40</f>
        <v>100.4</v>
      </c>
      <c r="W5">
        <v>106.2</v>
      </c>
      <c r="X5">
        <v>105.2</v>
      </c>
      <c r="Y5">
        <v>104.4</v>
      </c>
      <c r="Z5">
        <v>104.6</v>
      </c>
      <c r="AA5">
        <v>104.1</v>
      </c>
      <c r="AB5">
        <v>104</v>
      </c>
      <c r="AC5">
        <v>103.9</v>
      </c>
      <c r="AD5">
        <v>104.4</v>
      </c>
      <c r="AE5">
        <v>105.8</v>
      </c>
    </row>
    <row r="6" spans="1:31" x14ac:dyDescent="0.3">
      <c r="A6" t="s">
        <v>30</v>
      </c>
      <c r="B6">
        <v>2013</v>
      </c>
      <c r="C6" t="s">
        <v>31</v>
      </c>
      <c r="D6">
        <f t="shared" si="0"/>
        <v>2</v>
      </c>
      <c r="E6">
        <v>110.4</v>
      </c>
      <c r="F6">
        <v>110.2</v>
      </c>
      <c r="G6">
        <v>112.8</v>
      </c>
      <c r="H6">
        <v>104.9</v>
      </c>
      <c r="I6">
        <v>105.5</v>
      </c>
      <c r="J6">
        <v>103.6</v>
      </c>
      <c r="K6">
        <v>103.2</v>
      </c>
      <c r="L6">
        <v>105.3</v>
      </c>
      <c r="M6">
        <v>105.1</v>
      </c>
      <c r="N6">
        <v>102.8</v>
      </c>
      <c r="O6">
        <v>105.5</v>
      </c>
      <c r="P6">
        <v>108.3</v>
      </c>
      <c r="Q6">
        <v>106.6</v>
      </c>
      <c r="R6">
        <v>105.7</v>
      </c>
      <c r="S6">
        <v>106.9</v>
      </c>
      <c r="T6">
        <v>106</v>
      </c>
      <c r="U6">
        <v>106.8</v>
      </c>
      <c r="V6">
        <v>100.4</v>
      </c>
      <c r="W6">
        <v>106</v>
      </c>
      <c r="X6">
        <v>105.2</v>
      </c>
      <c r="Y6">
        <v>104.5</v>
      </c>
      <c r="Z6">
        <v>104.5</v>
      </c>
      <c r="AA6">
        <v>103.9</v>
      </c>
      <c r="AB6">
        <v>103.6</v>
      </c>
      <c r="AC6">
        <v>104.2</v>
      </c>
      <c r="AD6">
        <v>104.4</v>
      </c>
      <c r="AE6">
        <v>105.3</v>
      </c>
    </row>
    <row r="7" spans="1:31" x14ac:dyDescent="0.3">
      <c r="A7" t="s">
        <v>29</v>
      </c>
      <c r="B7">
        <v>2013</v>
      </c>
      <c r="C7" t="s">
        <v>31</v>
      </c>
      <c r="D7">
        <f t="shared" si="0"/>
        <v>2</v>
      </c>
      <c r="E7">
        <v>112.9</v>
      </c>
      <c r="F7">
        <v>112.9</v>
      </c>
      <c r="G7">
        <v>116.9</v>
      </c>
      <c r="H7">
        <v>104</v>
      </c>
      <c r="I7">
        <v>103.5</v>
      </c>
      <c r="J7">
        <v>103.1</v>
      </c>
      <c r="K7">
        <v>104.9</v>
      </c>
      <c r="L7">
        <v>104.1</v>
      </c>
      <c r="M7">
        <v>103.8</v>
      </c>
      <c r="N7">
        <v>102.3</v>
      </c>
      <c r="O7">
        <v>106</v>
      </c>
      <c r="P7">
        <v>109</v>
      </c>
      <c r="Q7">
        <v>107.2</v>
      </c>
      <c r="R7">
        <v>106</v>
      </c>
      <c r="S7">
        <v>106.6</v>
      </c>
      <c r="T7">
        <v>105.5</v>
      </c>
      <c r="U7">
        <v>106.4</v>
      </c>
      <c r="V7">
        <v>100.4</v>
      </c>
      <c r="W7">
        <v>105.7</v>
      </c>
      <c r="X7">
        <v>105.2</v>
      </c>
      <c r="Y7">
        <v>104.7</v>
      </c>
      <c r="Z7">
        <v>104.3</v>
      </c>
      <c r="AA7">
        <v>103.7</v>
      </c>
      <c r="AB7">
        <v>103.3</v>
      </c>
      <c r="AC7">
        <v>104.4</v>
      </c>
      <c r="AD7">
        <v>104.3</v>
      </c>
      <c r="AE7">
        <v>104.7</v>
      </c>
    </row>
    <row r="8" spans="1:31" x14ac:dyDescent="0.3">
      <c r="A8" t="s">
        <v>27</v>
      </c>
      <c r="B8">
        <v>2013</v>
      </c>
      <c r="C8" t="s">
        <v>32</v>
      </c>
      <c r="D8">
        <f t="shared" si="0"/>
        <v>3</v>
      </c>
      <c r="E8">
        <v>110.2</v>
      </c>
      <c r="F8">
        <v>108.8</v>
      </c>
      <c r="G8">
        <v>109.9</v>
      </c>
      <c r="H8">
        <v>105.6</v>
      </c>
      <c r="I8">
        <v>106.2</v>
      </c>
      <c r="J8">
        <v>105.7</v>
      </c>
      <c r="K8">
        <v>101.4</v>
      </c>
      <c r="L8">
        <v>105.7</v>
      </c>
      <c r="M8">
        <v>105</v>
      </c>
      <c r="N8">
        <v>103.3</v>
      </c>
      <c r="O8">
        <v>105.6</v>
      </c>
      <c r="P8">
        <v>108.2</v>
      </c>
      <c r="Q8">
        <v>106.6</v>
      </c>
      <c r="R8">
        <v>106.5</v>
      </c>
      <c r="S8">
        <v>107.6</v>
      </c>
      <c r="T8">
        <v>106.8</v>
      </c>
      <c r="U8">
        <v>107.5</v>
      </c>
      <c r="V8" s="2">
        <f>'Missing values'!V73</f>
        <v>100.4</v>
      </c>
      <c r="W8">
        <v>106.1</v>
      </c>
      <c r="X8">
        <v>105.6</v>
      </c>
      <c r="Y8">
        <v>104.7</v>
      </c>
      <c r="Z8">
        <v>104.3</v>
      </c>
      <c r="AA8">
        <v>104.3</v>
      </c>
      <c r="AB8">
        <v>104</v>
      </c>
      <c r="AC8">
        <v>104.6</v>
      </c>
      <c r="AD8">
        <v>104.6</v>
      </c>
      <c r="AE8">
        <v>106</v>
      </c>
    </row>
    <row r="9" spans="1:31" x14ac:dyDescent="0.3">
      <c r="A9" t="s">
        <v>30</v>
      </c>
      <c r="B9">
        <v>2013</v>
      </c>
      <c r="C9" t="s">
        <v>32</v>
      </c>
      <c r="D9">
        <f t="shared" si="0"/>
        <v>3</v>
      </c>
      <c r="E9">
        <v>111.4</v>
      </c>
      <c r="F9">
        <v>109.7</v>
      </c>
      <c r="G9">
        <v>111.2</v>
      </c>
      <c r="H9">
        <v>105.1</v>
      </c>
      <c r="I9">
        <v>104.9</v>
      </c>
      <c r="J9">
        <v>105.3</v>
      </c>
      <c r="K9">
        <v>102.2</v>
      </c>
      <c r="L9">
        <v>105</v>
      </c>
      <c r="M9">
        <v>104.2</v>
      </c>
      <c r="N9">
        <v>103</v>
      </c>
      <c r="O9">
        <v>106.2</v>
      </c>
      <c r="P9">
        <v>108.9</v>
      </c>
      <c r="Q9">
        <v>106.9</v>
      </c>
      <c r="R9">
        <v>106.6</v>
      </c>
      <c r="S9">
        <v>107.4</v>
      </c>
      <c r="T9">
        <v>106.5</v>
      </c>
      <c r="U9">
        <v>107.3</v>
      </c>
      <c r="V9">
        <v>100.4</v>
      </c>
      <c r="W9">
        <v>106.1</v>
      </c>
      <c r="X9">
        <v>105.6</v>
      </c>
      <c r="Y9">
        <v>104.9</v>
      </c>
      <c r="Z9">
        <v>104.3</v>
      </c>
      <c r="AA9">
        <v>104</v>
      </c>
      <c r="AB9">
        <v>103.7</v>
      </c>
      <c r="AC9">
        <v>105.1</v>
      </c>
      <c r="AD9">
        <v>104.7</v>
      </c>
      <c r="AE9">
        <v>105.5</v>
      </c>
    </row>
    <row r="10" spans="1:31" x14ac:dyDescent="0.3">
      <c r="A10" t="s">
        <v>29</v>
      </c>
      <c r="B10">
        <v>2013</v>
      </c>
      <c r="C10" t="s">
        <v>32</v>
      </c>
      <c r="D10">
        <f t="shared" si="0"/>
        <v>3</v>
      </c>
      <c r="E10">
        <v>113.9</v>
      </c>
      <c r="F10">
        <v>111.4</v>
      </c>
      <c r="G10">
        <v>113.2</v>
      </c>
      <c r="H10">
        <v>104.3</v>
      </c>
      <c r="I10">
        <v>102.7</v>
      </c>
      <c r="J10">
        <v>104.9</v>
      </c>
      <c r="K10">
        <v>103.8</v>
      </c>
      <c r="L10">
        <v>103.5</v>
      </c>
      <c r="M10">
        <v>102.6</v>
      </c>
      <c r="N10">
        <v>102.4</v>
      </c>
      <c r="O10">
        <v>107</v>
      </c>
      <c r="P10">
        <v>109.8</v>
      </c>
      <c r="Q10">
        <v>107.3</v>
      </c>
      <c r="R10">
        <v>106.8</v>
      </c>
      <c r="S10">
        <v>107.2</v>
      </c>
      <c r="T10">
        <v>106</v>
      </c>
      <c r="U10">
        <v>107</v>
      </c>
      <c r="V10">
        <v>100.4</v>
      </c>
      <c r="W10">
        <v>106</v>
      </c>
      <c r="X10">
        <v>105.7</v>
      </c>
      <c r="Y10">
        <v>105.2</v>
      </c>
      <c r="Z10">
        <v>104.2</v>
      </c>
      <c r="AA10">
        <v>103.8</v>
      </c>
      <c r="AB10">
        <v>103.5</v>
      </c>
      <c r="AC10">
        <v>105.5</v>
      </c>
      <c r="AD10">
        <v>104.9</v>
      </c>
      <c r="AE10">
        <v>105</v>
      </c>
    </row>
    <row r="11" spans="1:31" x14ac:dyDescent="0.3">
      <c r="A11" t="s">
        <v>27</v>
      </c>
      <c r="B11">
        <v>2013</v>
      </c>
      <c r="C11" t="s">
        <v>33</v>
      </c>
      <c r="D11">
        <f t="shared" si="0"/>
        <v>4</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s="2">
        <f>'Missing values'!V106</f>
        <v>100.5</v>
      </c>
      <c r="W11">
        <v>106.5</v>
      </c>
      <c r="X11">
        <v>106.1</v>
      </c>
      <c r="Y11">
        <v>105.1</v>
      </c>
      <c r="Z11">
        <v>102.7</v>
      </c>
      <c r="AA11">
        <v>104.8</v>
      </c>
      <c r="AB11">
        <v>104.5</v>
      </c>
      <c r="AC11">
        <v>104.4</v>
      </c>
      <c r="AD11">
        <v>104.6</v>
      </c>
      <c r="AE11">
        <v>106.4</v>
      </c>
    </row>
    <row r="12" spans="1:31" x14ac:dyDescent="0.3">
      <c r="A12" t="s">
        <v>30</v>
      </c>
      <c r="B12">
        <v>2013</v>
      </c>
      <c r="C12" t="s">
        <v>33</v>
      </c>
      <c r="D12">
        <f t="shared" si="0"/>
        <v>4</v>
      </c>
      <c r="E12">
        <v>111.6</v>
      </c>
      <c r="F12">
        <v>110.9</v>
      </c>
      <c r="G12">
        <v>106.6</v>
      </c>
      <c r="H12">
        <v>105.7</v>
      </c>
      <c r="I12">
        <v>104.4</v>
      </c>
      <c r="J12">
        <v>108.9</v>
      </c>
      <c r="K12">
        <v>105.5</v>
      </c>
      <c r="L12">
        <v>105.3</v>
      </c>
      <c r="M12">
        <v>103.5</v>
      </c>
      <c r="N12">
        <v>103.3</v>
      </c>
      <c r="O12">
        <v>107.2</v>
      </c>
      <c r="P12">
        <v>109.6</v>
      </c>
      <c r="Q12">
        <v>107.7</v>
      </c>
      <c r="R12">
        <v>107.5</v>
      </c>
      <c r="S12">
        <v>108</v>
      </c>
      <c r="T12">
        <v>107</v>
      </c>
      <c r="U12">
        <v>107.9</v>
      </c>
      <c r="V12">
        <v>100.5</v>
      </c>
      <c r="W12">
        <v>106.5</v>
      </c>
      <c r="X12">
        <v>106.3</v>
      </c>
      <c r="Y12">
        <v>105.3</v>
      </c>
      <c r="Z12">
        <v>102.9</v>
      </c>
      <c r="AA12">
        <v>105</v>
      </c>
      <c r="AB12">
        <v>104.2</v>
      </c>
      <c r="AC12">
        <v>104.7</v>
      </c>
      <c r="AD12">
        <v>104.8</v>
      </c>
      <c r="AE12">
        <v>106.1</v>
      </c>
    </row>
    <row r="13" spans="1:31" x14ac:dyDescent="0.3">
      <c r="A13" t="s">
        <v>29</v>
      </c>
      <c r="B13">
        <v>2013</v>
      </c>
      <c r="C13" t="s">
        <v>33</v>
      </c>
      <c r="D13">
        <f t="shared" si="0"/>
        <v>4</v>
      </c>
      <c r="E13">
        <v>114.6</v>
      </c>
      <c r="F13">
        <v>113.4</v>
      </c>
      <c r="G13">
        <v>106</v>
      </c>
      <c r="H13">
        <v>104.7</v>
      </c>
      <c r="I13">
        <v>102.1</v>
      </c>
      <c r="J13">
        <v>109.5</v>
      </c>
      <c r="K13">
        <v>109.7</v>
      </c>
      <c r="L13">
        <v>104.6</v>
      </c>
      <c r="M13">
        <v>102</v>
      </c>
      <c r="N13">
        <v>103.5</v>
      </c>
      <c r="O13">
        <v>108.2</v>
      </c>
      <c r="P13">
        <v>110.6</v>
      </c>
      <c r="Q13">
        <v>108.8</v>
      </c>
      <c r="R13">
        <v>108.5</v>
      </c>
      <c r="S13">
        <v>107.9</v>
      </c>
      <c r="T13">
        <v>106.4</v>
      </c>
      <c r="U13">
        <v>107.7</v>
      </c>
      <c r="V13">
        <v>100.5</v>
      </c>
      <c r="W13">
        <v>106.4</v>
      </c>
      <c r="X13">
        <v>106.5</v>
      </c>
      <c r="Y13">
        <v>105.7</v>
      </c>
      <c r="Z13">
        <v>103.2</v>
      </c>
      <c r="AA13">
        <v>105.2</v>
      </c>
      <c r="AB13">
        <v>104</v>
      </c>
      <c r="AC13">
        <v>105</v>
      </c>
      <c r="AD13">
        <v>105.1</v>
      </c>
      <c r="AE13">
        <v>105.7</v>
      </c>
    </row>
    <row r="14" spans="1:31" x14ac:dyDescent="0.3">
      <c r="A14" t="s">
        <v>27</v>
      </c>
      <c r="B14">
        <v>2013</v>
      </c>
      <c r="C14" t="s">
        <v>34</v>
      </c>
      <c r="D14">
        <f t="shared" si="0"/>
        <v>5</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s="2">
        <f>'Missing values'!V136</f>
        <v>100.5</v>
      </c>
      <c r="W14">
        <v>107.5</v>
      </c>
      <c r="X14">
        <v>106.8</v>
      </c>
      <c r="Y14">
        <v>105.7</v>
      </c>
      <c r="Z14">
        <v>102.1</v>
      </c>
      <c r="AA14">
        <v>105.5</v>
      </c>
      <c r="AB14">
        <v>105</v>
      </c>
      <c r="AC14">
        <v>104.1</v>
      </c>
      <c r="AD14">
        <v>104.8</v>
      </c>
      <c r="AE14">
        <v>107.2</v>
      </c>
    </row>
    <row r="15" spans="1:31" x14ac:dyDescent="0.3">
      <c r="A15" t="s">
        <v>30</v>
      </c>
      <c r="B15">
        <v>2013</v>
      </c>
      <c r="C15" t="s">
        <v>34</v>
      </c>
      <c r="D15">
        <f t="shared" si="0"/>
        <v>5</v>
      </c>
      <c r="E15">
        <v>112.3</v>
      </c>
      <c r="F15">
        <v>111.3</v>
      </c>
      <c r="G15">
        <v>104.7</v>
      </c>
      <c r="H15">
        <v>106.8</v>
      </c>
      <c r="I15">
        <v>103.9</v>
      </c>
      <c r="J15">
        <v>109.3</v>
      </c>
      <c r="K15">
        <v>112.9</v>
      </c>
      <c r="L15">
        <v>105.8</v>
      </c>
      <c r="M15">
        <v>103.1</v>
      </c>
      <c r="N15">
        <v>104.3</v>
      </c>
      <c r="O15">
        <v>108.1</v>
      </c>
      <c r="P15">
        <v>110.5</v>
      </c>
      <c r="Q15">
        <v>109.2</v>
      </c>
      <c r="R15">
        <v>108.6</v>
      </c>
      <c r="S15">
        <v>108.7</v>
      </c>
      <c r="T15">
        <v>107.4</v>
      </c>
      <c r="U15">
        <v>108.5</v>
      </c>
      <c r="V15">
        <v>100.5</v>
      </c>
      <c r="W15">
        <v>107.4</v>
      </c>
      <c r="X15">
        <v>106.9</v>
      </c>
      <c r="Y15">
        <v>105.9</v>
      </c>
      <c r="Z15">
        <v>102.3</v>
      </c>
      <c r="AA15">
        <v>105.6</v>
      </c>
      <c r="AB15">
        <v>104.8</v>
      </c>
      <c r="AC15">
        <v>104</v>
      </c>
      <c r="AD15">
        <v>104.8</v>
      </c>
      <c r="AE15">
        <v>106.9</v>
      </c>
    </row>
    <row r="16" spans="1:31" x14ac:dyDescent="0.3">
      <c r="A16" t="s">
        <v>29</v>
      </c>
      <c r="B16">
        <v>2013</v>
      </c>
      <c r="C16" t="s">
        <v>34</v>
      </c>
      <c r="D16">
        <f t="shared" si="0"/>
        <v>5</v>
      </c>
      <c r="E16">
        <v>115.4</v>
      </c>
      <c r="F16">
        <v>114.2</v>
      </c>
      <c r="G16">
        <v>102.7</v>
      </c>
      <c r="H16">
        <v>105.5</v>
      </c>
      <c r="I16">
        <v>101.5</v>
      </c>
      <c r="J16">
        <v>110.6</v>
      </c>
      <c r="K16">
        <v>123.7</v>
      </c>
      <c r="L16">
        <v>105.2</v>
      </c>
      <c r="M16">
        <v>101.9</v>
      </c>
      <c r="N16">
        <v>105</v>
      </c>
      <c r="O16">
        <v>109.1</v>
      </c>
      <c r="P16">
        <v>111.3</v>
      </c>
      <c r="Q16">
        <v>111.1</v>
      </c>
      <c r="R16">
        <v>109.8</v>
      </c>
      <c r="S16">
        <v>108.5</v>
      </c>
      <c r="T16">
        <v>106.7</v>
      </c>
      <c r="U16">
        <v>108.3</v>
      </c>
      <c r="V16">
        <v>100.5</v>
      </c>
      <c r="W16">
        <v>107.2</v>
      </c>
      <c r="X16">
        <v>107.1</v>
      </c>
      <c r="Y16">
        <v>106.2</v>
      </c>
      <c r="Z16">
        <v>102.6</v>
      </c>
      <c r="AA16">
        <v>105.7</v>
      </c>
      <c r="AB16">
        <v>104.6</v>
      </c>
      <c r="AC16">
        <v>103.9</v>
      </c>
      <c r="AD16">
        <v>104.9</v>
      </c>
      <c r="AE16">
        <v>106.6</v>
      </c>
    </row>
    <row r="17" spans="1:31" x14ac:dyDescent="0.3">
      <c r="A17" t="s">
        <v>27</v>
      </c>
      <c r="B17">
        <v>2013</v>
      </c>
      <c r="C17" t="s">
        <v>35</v>
      </c>
      <c r="D17">
        <f t="shared" si="0"/>
        <v>6</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s="2">
        <f>'Missing values'!V169</f>
        <v>106.6</v>
      </c>
      <c r="W17">
        <v>108.5</v>
      </c>
      <c r="X17">
        <v>107.5</v>
      </c>
      <c r="Y17">
        <v>106.3</v>
      </c>
      <c r="Z17">
        <v>102.5</v>
      </c>
      <c r="AA17">
        <v>106.5</v>
      </c>
      <c r="AB17">
        <v>105.6</v>
      </c>
      <c r="AC17">
        <v>105</v>
      </c>
      <c r="AD17">
        <v>105.5</v>
      </c>
      <c r="AE17">
        <v>108.9</v>
      </c>
    </row>
    <row r="18" spans="1:31" x14ac:dyDescent="0.3">
      <c r="A18" t="s">
        <v>30</v>
      </c>
      <c r="B18">
        <v>2013</v>
      </c>
      <c r="C18" t="s">
        <v>35</v>
      </c>
      <c r="D18">
        <f t="shared" si="0"/>
        <v>6</v>
      </c>
      <c r="E18">
        <v>113.8</v>
      </c>
      <c r="F18">
        <v>114.9</v>
      </c>
      <c r="G18">
        <v>109.8</v>
      </c>
      <c r="H18">
        <v>107.9</v>
      </c>
      <c r="I18">
        <v>104.2</v>
      </c>
      <c r="J18">
        <v>110.7</v>
      </c>
      <c r="K18">
        <v>126.7</v>
      </c>
      <c r="L18">
        <v>106.3</v>
      </c>
      <c r="M18">
        <v>103.2</v>
      </c>
      <c r="N18">
        <v>105.7</v>
      </c>
      <c r="O18">
        <v>109</v>
      </c>
      <c r="P18">
        <v>111.6</v>
      </c>
      <c r="Q18">
        <v>112.2</v>
      </c>
      <c r="R18">
        <v>109.5</v>
      </c>
      <c r="S18">
        <v>109.5</v>
      </c>
      <c r="T18">
        <v>108.1</v>
      </c>
      <c r="U18">
        <v>109.3</v>
      </c>
      <c r="V18">
        <v>106.6</v>
      </c>
      <c r="W18">
        <v>108.3</v>
      </c>
      <c r="X18">
        <v>107.6</v>
      </c>
      <c r="Y18">
        <v>106.4</v>
      </c>
      <c r="Z18">
        <v>102.8</v>
      </c>
      <c r="AA18">
        <v>107.4</v>
      </c>
      <c r="AB18">
        <v>105.4</v>
      </c>
      <c r="AC18">
        <v>105.1</v>
      </c>
      <c r="AD18">
        <v>105.8</v>
      </c>
      <c r="AE18">
        <v>109.3</v>
      </c>
    </row>
    <row r="19" spans="1:31" x14ac:dyDescent="0.3">
      <c r="A19" t="s">
        <v>29</v>
      </c>
      <c r="B19">
        <v>2013</v>
      </c>
      <c r="C19" t="s">
        <v>35</v>
      </c>
      <c r="D19">
        <f t="shared" si="0"/>
        <v>6</v>
      </c>
      <c r="E19">
        <v>117</v>
      </c>
      <c r="F19">
        <v>120.1</v>
      </c>
      <c r="G19">
        <v>112.5</v>
      </c>
      <c r="H19">
        <v>107.3</v>
      </c>
      <c r="I19">
        <v>101.3</v>
      </c>
      <c r="J19">
        <v>112.4</v>
      </c>
      <c r="K19">
        <v>143.6</v>
      </c>
      <c r="L19">
        <v>105.4</v>
      </c>
      <c r="M19">
        <v>101.4</v>
      </c>
      <c r="N19">
        <v>106.4</v>
      </c>
      <c r="O19">
        <v>110</v>
      </c>
      <c r="P19">
        <v>112.2</v>
      </c>
      <c r="Q19">
        <v>115</v>
      </c>
      <c r="R19">
        <v>110.9</v>
      </c>
      <c r="S19">
        <v>109.2</v>
      </c>
      <c r="T19">
        <v>107.2</v>
      </c>
      <c r="U19">
        <v>108.9</v>
      </c>
      <c r="V19">
        <v>106.6</v>
      </c>
      <c r="W19">
        <v>108</v>
      </c>
      <c r="X19">
        <v>107.7</v>
      </c>
      <c r="Y19">
        <v>106.5</v>
      </c>
      <c r="Z19">
        <v>103.3</v>
      </c>
      <c r="AA19">
        <v>108.1</v>
      </c>
      <c r="AB19">
        <v>105.2</v>
      </c>
      <c r="AC19">
        <v>105.2</v>
      </c>
      <c r="AD19">
        <v>106.1</v>
      </c>
      <c r="AE19">
        <v>109.7</v>
      </c>
    </row>
    <row r="20" spans="1:31" x14ac:dyDescent="0.3">
      <c r="A20" t="s">
        <v>27</v>
      </c>
      <c r="B20">
        <v>2013</v>
      </c>
      <c r="C20" t="s">
        <v>36</v>
      </c>
      <c r="D20">
        <f t="shared" si="0"/>
        <v>7</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s="2">
        <f>'Missing values'!V199</f>
        <v>107.7</v>
      </c>
      <c r="W20">
        <v>109.5</v>
      </c>
      <c r="X20">
        <v>108.3</v>
      </c>
      <c r="Y20">
        <v>106.9</v>
      </c>
      <c r="Z20">
        <v>102.5</v>
      </c>
      <c r="AA20">
        <v>107.8</v>
      </c>
      <c r="AB20">
        <v>106.4</v>
      </c>
      <c r="AC20">
        <v>106.8</v>
      </c>
      <c r="AD20">
        <v>106.5</v>
      </c>
      <c r="AE20">
        <v>110.7</v>
      </c>
    </row>
    <row r="21" spans="1:31" x14ac:dyDescent="0.3">
      <c r="A21" t="s">
        <v>30</v>
      </c>
      <c r="B21">
        <v>2013</v>
      </c>
      <c r="C21" t="s">
        <v>36</v>
      </c>
      <c r="D21">
        <f t="shared" si="0"/>
        <v>7</v>
      </c>
      <c r="E21">
        <v>114.8</v>
      </c>
      <c r="F21">
        <v>116.4</v>
      </c>
      <c r="G21">
        <v>111.9</v>
      </c>
      <c r="H21">
        <v>108.9</v>
      </c>
      <c r="I21">
        <v>104.3</v>
      </c>
      <c r="J21">
        <v>111.7</v>
      </c>
      <c r="K21">
        <v>140</v>
      </c>
      <c r="L21">
        <v>106.4</v>
      </c>
      <c r="M21">
        <v>103.3</v>
      </c>
      <c r="N21">
        <v>106.8</v>
      </c>
      <c r="O21">
        <v>109.6</v>
      </c>
      <c r="P21">
        <v>112.6</v>
      </c>
      <c r="Q21">
        <v>114.7</v>
      </c>
      <c r="R21">
        <v>110.3</v>
      </c>
      <c r="S21">
        <v>110.2</v>
      </c>
      <c r="T21">
        <v>108.8</v>
      </c>
      <c r="U21">
        <v>110</v>
      </c>
      <c r="V21">
        <v>107.7</v>
      </c>
      <c r="W21">
        <v>109.2</v>
      </c>
      <c r="X21">
        <v>108.2</v>
      </c>
      <c r="Y21">
        <v>107</v>
      </c>
      <c r="Z21">
        <v>102.8</v>
      </c>
      <c r="AA21">
        <v>109.1</v>
      </c>
      <c r="AB21">
        <v>106.1</v>
      </c>
      <c r="AC21">
        <v>107.1</v>
      </c>
      <c r="AD21">
        <v>106.9</v>
      </c>
      <c r="AE21">
        <v>111</v>
      </c>
    </row>
    <row r="22" spans="1:31" x14ac:dyDescent="0.3">
      <c r="A22" t="s">
        <v>29</v>
      </c>
      <c r="B22">
        <v>2013</v>
      </c>
      <c r="C22" t="s">
        <v>36</v>
      </c>
      <c r="D22">
        <f t="shared" si="0"/>
        <v>7</v>
      </c>
      <c r="E22">
        <v>117.8</v>
      </c>
      <c r="F22">
        <v>119.2</v>
      </c>
      <c r="G22">
        <v>114</v>
      </c>
      <c r="H22">
        <v>108.3</v>
      </c>
      <c r="I22">
        <v>101.1</v>
      </c>
      <c r="J22">
        <v>113.2</v>
      </c>
      <c r="K22">
        <v>160.9</v>
      </c>
      <c r="L22">
        <v>105.1</v>
      </c>
      <c r="M22">
        <v>101.3</v>
      </c>
      <c r="N22">
        <v>107.5</v>
      </c>
      <c r="O22">
        <v>110.4</v>
      </c>
      <c r="P22">
        <v>113.1</v>
      </c>
      <c r="Q22">
        <v>117.5</v>
      </c>
      <c r="R22">
        <v>111.7</v>
      </c>
      <c r="S22">
        <v>109.8</v>
      </c>
      <c r="T22">
        <v>107.8</v>
      </c>
      <c r="U22">
        <v>109.5</v>
      </c>
      <c r="V22">
        <v>107.7</v>
      </c>
      <c r="W22">
        <v>108.6</v>
      </c>
      <c r="X22">
        <v>108.1</v>
      </c>
      <c r="Y22">
        <v>107.1</v>
      </c>
      <c r="Z22">
        <v>103.2</v>
      </c>
      <c r="AA22">
        <v>110.1</v>
      </c>
      <c r="AB22">
        <v>105.9</v>
      </c>
      <c r="AC22">
        <v>107.3</v>
      </c>
      <c r="AD22">
        <v>107.3</v>
      </c>
      <c r="AE22">
        <v>111.4</v>
      </c>
    </row>
    <row r="23" spans="1:31" x14ac:dyDescent="0.3">
      <c r="A23" t="s">
        <v>27</v>
      </c>
      <c r="B23">
        <v>2013</v>
      </c>
      <c r="C23" t="s">
        <v>37</v>
      </c>
      <c r="D23">
        <f t="shared" si="0"/>
        <v>8</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s="2">
        <f>'Missing values'!V229</f>
        <v>108.9</v>
      </c>
      <c r="W23">
        <v>109.9</v>
      </c>
      <c r="X23">
        <v>108.7</v>
      </c>
      <c r="Y23">
        <v>107.5</v>
      </c>
      <c r="Z23">
        <v>105</v>
      </c>
      <c r="AA23">
        <v>108.7</v>
      </c>
      <c r="AB23">
        <v>106.8</v>
      </c>
      <c r="AC23">
        <v>107.8</v>
      </c>
      <c r="AD23">
        <v>107.5</v>
      </c>
      <c r="AE23">
        <v>112.1</v>
      </c>
    </row>
    <row r="24" spans="1:31" x14ac:dyDescent="0.3">
      <c r="A24" t="s">
        <v>30</v>
      </c>
      <c r="B24">
        <v>2013</v>
      </c>
      <c r="C24" t="s">
        <v>37</v>
      </c>
      <c r="D24">
        <f t="shared" si="0"/>
        <v>8</v>
      </c>
      <c r="E24">
        <v>115.6</v>
      </c>
      <c r="F24">
        <v>117.2</v>
      </c>
      <c r="G24">
        <v>111.7</v>
      </c>
      <c r="H24">
        <v>109.6</v>
      </c>
      <c r="I24">
        <v>104.5</v>
      </c>
      <c r="J24">
        <v>109.8</v>
      </c>
      <c r="K24">
        <v>151.80000000000001</v>
      </c>
      <c r="L24">
        <v>106.5</v>
      </c>
      <c r="M24">
        <v>103.1</v>
      </c>
      <c r="N24">
        <v>107.4</v>
      </c>
      <c r="O24">
        <v>110.2</v>
      </c>
      <c r="P24">
        <v>113.4</v>
      </c>
      <c r="Q24">
        <v>116.6</v>
      </c>
      <c r="R24">
        <v>111.2</v>
      </c>
      <c r="S24">
        <v>111</v>
      </c>
      <c r="T24">
        <v>109.4</v>
      </c>
      <c r="U24">
        <v>110.7</v>
      </c>
      <c r="V24">
        <v>108.9</v>
      </c>
      <c r="W24">
        <v>109.7</v>
      </c>
      <c r="X24">
        <v>108.7</v>
      </c>
      <c r="Y24">
        <v>107.5</v>
      </c>
      <c r="Z24">
        <v>105.4</v>
      </c>
      <c r="AA24">
        <v>109.9</v>
      </c>
      <c r="AB24">
        <v>106.6</v>
      </c>
      <c r="AC24">
        <v>108</v>
      </c>
      <c r="AD24">
        <v>107.9</v>
      </c>
      <c r="AE24">
        <v>112.4</v>
      </c>
    </row>
    <row r="25" spans="1:31" x14ac:dyDescent="0.3">
      <c r="A25" t="s">
        <v>29</v>
      </c>
      <c r="B25">
        <v>2013</v>
      </c>
      <c r="C25" t="s">
        <v>37</v>
      </c>
      <c r="D25">
        <f>IF(C25="January",1,
IF(C25="february",2,
IF(C25="march",3,
IF(C25="april",4,
IF(C25="may",5,
IF(C25="june",6,
IF(C25="july",7,
IF(C25="august",8,
IF(C25="september",9,
IF(C25="october",10,
IF(C25="november",11,
IF(C25="december",12,
))))))))))))</f>
        <v>8</v>
      </c>
      <c r="E25">
        <v>118.3</v>
      </c>
      <c r="F25">
        <v>120.4</v>
      </c>
      <c r="G25">
        <v>112.7</v>
      </c>
      <c r="H25">
        <v>108.9</v>
      </c>
      <c r="I25">
        <v>101.1</v>
      </c>
      <c r="J25">
        <v>108.7</v>
      </c>
      <c r="K25">
        <v>177</v>
      </c>
      <c r="L25">
        <v>104.7</v>
      </c>
      <c r="M25">
        <v>101</v>
      </c>
      <c r="N25">
        <v>108.5</v>
      </c>
      <c r="O25">
        <v>110.9</v>
      </c>
      <c r="P25">
        <v>114.3</v>
      </c>
      <c r="Q25">
        <v>119.6</v>
      </c>
      <c r="R25">
        <v>112.4</v>
      </c>
      <c r="S25">
        <v>110.6</v>
      </c>
      <c r="T25">
        <v>108.3</v>
      </c>
      <c r="U25">
        <v>110.2</v>
      </c>
      <c r="V25">
        <v>108.9</v>
      </c>
      <c r="W25">
        <v>109.3</v>
      </c>
      <c r="X25">
        <v>108.7</v>
      </c>
      <c r="Y25">
        <v>107.6</v>
      </c>
      <c r="Z25">
        <v>106</v>
      </c>
      <c r="AA25">
        <v>110.8</v>
      </c>
      <c r="AB25">
        <v>106.5</v>
      </c>
      <c r="AC25">
        <v>108.1</v>
      </c>
      <c r="AD25">
        <v>108.3</v>
      </c>
      <c r="AE25">
        <v>112.7</v>
      </c>
    </row>
    <row r="26" spans="1:31" x14ac:dyDescent="0.3">
      <c r="A26" t="s">
        <v>27</v>
      </c>
      <c r="B26">
        <v>2013</v>
      </c>
      <c r="C26" t="s">
        <v>38</v>
      </c>
      <c r="D26">
        <f t="shared" si="0"/>
        <v>9</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s="2">
        <f>'Missing values'!V259</f>
        <v>109.7</v>
      </c>
      <c r="W26">
        <v>111.1</v>
      </c>
      <c r="X26">
        <v>109.6</v>
      </c>
      <c r="Y26">
        <v>108.3</v>
      </c>
      <c r="Z26">
        <v>106.7</v>
      </c>
      <c r="AA26">
        <v>109.8</v>
      </c>
      <c r="AB26">
        <v>107.7</v>
      </c>
      <c r="AC26">
        <v>109.3</v>
      </c>
      <c r="AD26">
        <v>108.7</v>
      </c>
      <c r="AE26">
        <v>114.2</v>
      </c>
    </row>
    <row r="27" spans="1:31" x14ac:dyDescent="0.3">
      <c r="A27" t="s">
        <v>30</v>
      </c>
      <c r="B27">
        <v>2013</v>
      </c>
      <c r="C27" t="s">
        <v>38</v>
      </c>
      <c r="D27">
        <f t="shared" si="0"/>
        <v>9</v>
      </c>
      <c r="E27">
        <v>116.4</v>
      </c>
      <c r="F27">
        <v>116.9</v>
      </c>
      <c r="G27">
        <v>112.3</v>
      </c>
      <c r="H27">
        <v>110.5</v>
      </c>
      <c r="I27">
        <v>105.3</v>
      </c>
      <c r="J27">
        <v>107.3</v>
      </c>
      <c r="K27">
        <v>160.9</v>
      </c>
      <c r="L27">
        <v>107.1</v>
      </c>
      <c r="M27">
        <v>103.1</v>
      </c>
      <c r="N27">
        <v>108.3</v>
      </c>
      <c r="O27">
        <v>110.7</v>
      </c>
      <c r="P27">
        <v>114.6</v>
      </c>
      <c r="Q27">
        <v>118.3</v>
      </c>
      <c r="R27">
        <v>112</v>
      </c>
      <c r="S27">
        <v>112.2</v>
      </c>
      <c r="T27">
        <v>110.4</v>
      </c>
      <c r="U27">
        <v>111.9</v>
      </c>
      <c r="V27">
        <v>109.7</v>
      </c>
      <c r="W27">
        <v>110.5</v>
      </c>
      <c r="X27">
        <v>109.6</v>
      </c>
      <c r="Y27">
        <v>108.1</v>
      </c>
      <c r="Z27">
        <v>106.8</v>
      </c>
      <c r="AA27">
        <v>110.6</v>
      </c>
      <c r="AB27">
        <v>107.5</v>
      </c>
      <c r="AC27">
        <v>109.9</v>
      </c>
      <c r="AD27">
        <v>109</v>
      </c>
      <c r="AE27">
        <v>113.7</v>
      </c>
    </row>
    <row r="28" spans="1:31" x14ac:dyDescent="0.3">
      <c r="A28" t="s">
        <v>29</v>
      </c>
      <c r="B28">
        <v>2013</v>
      </c>
      <c r="C28" t="s">
        <v>38</v>
      </c>
      <c r="D28">
        <f t="shared" si="0"/>
        <v>9</v>
      </c>
      <c r="E28">
        <v>118.6</v>
      </c>
      <c r="F28">
        <v>119.1</v>
      </c>
      <c r="G28">
        <v>113.2</v>
      </c>
      <c r="H28">
        <v>109.6</v>
      </c>
      <c r="I28">
        <v>101.7</v>
      </c>
      <c r="J28">
        <v>103.2</v>
      </c>
      <c r="K28">
        <v>174.3</v>
      </c>
      <c r="L28">
        <v>105.1</v>
      </c>
      <c r="M28">
        <v>100.8</v>
      </c>
      <c r="N28">
        <v>109.1</v>
      </c>
      <c r="O28">
        <v>111.1</v>
      </c>
      <c r="P28">
        <v>115.4</v>
      </c>
      <c r="Q28">
        <v>119.2</v>
      </c>
      <c r="R28">
        <v>112.9</v>
      </c>
      <c r="S28">
        <v>111.4</v>
      </c>
      <c r="T28">
        <v>109</v>
      </c>
      <c r="U28">
        <v>111.1</v>
      </c>
      <c r="V28">
        <v>109.7</v>
      </c>
      <c r="W28">
        <v>109.5</v>
      </c>
      <c r="X28">
        <v>109.6</v>
      </c>
      <c r="Y28">
        <v>107.9</v>
      </c>
      <c r="Z28">
        <v>106.9</v>
      </c>
      <c r="AA28">
        <v>111.2</v>
      </c>
      <c r="AB28">
        <v>107.4</v>
      </c>
      <c r="AC28">
        <v>110.4</v>
      </c>
      <c r="AD28">
        <v>109.4</v>
      </c>
      <c r="AE28">
        <v>113.2</v>
      </c>
    </row>
    <row r="29" spans="1:31" x14ac:dyDescent="0.3">
      <c r="A29" t="s">
        <v>27</v>
      </c>
      <c r="B29">
        <v>2013</v>
      </c>
      <c r="C29" t="s">
        <v>39</v>
      </c>
      <c r="D29">
        <f t="shared" si="0"/>
        <v>10</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s="2">
        <f>'Missing values'!V289</f>
        <v>110.5</v>
      </c>
      <c r="W29">
        <v>111.6</v>
      </c>
      <c r="X29">
        <v>110.4</v>
      </c>
      <c r="Y29">
        <v>108.9</v>
      </c>
      <c r="Z29">
        <v>107.5</v>
      </c>
      <c r="AA29">
        <v>110.2</v>
      </c>
      <c r="AB29">
        <v>108.3</v>
      </c>
      <c r="AC29">
        <v>109.3</v>
      </c>
      <c r="AD29">
        <v>109.1</v>
      </c>
      <c r="AE29">
        <v>115.5</v>
      </c>
    </row>
    <row r="30" spans="1:31" x14ac:dyDescent="0.3">
      <c r="A30" t="s">
        <v>30</v>
      </c>
      <c r="B30">
        <v>2013</v>
      </c>
      <c r="C30" t="s">
        <v>39</v>
      </c>
      <c r="D30">
        <f t="shared" si="0"/>
        <v>10</v>
      </c>
      <c r="E30">
        <v>117.1</v>
      </c>
      <c r="F30">
        <v>116.3</v>
      </c>
      <c r="G30">
        <v>113.3</v>
      </c>
      <c r="H30">
        <v>111.2</v>
      </c>
      <c r="I30">
        <v>105.7</v>
      </c>
      <c r="J30">
        <v>109.9</v>
      </c>
      <c r="K30">
        <v>171.2</v>
      </c>
      <c r="L30">
        <v>107.3</v>
      </c>
      <c r="M30">
        <v>102.7</v>
      </c>
      <c r="N30">
        <v>108.7</v>
      </c>
      <c r="O30">
        <v>111.2</v>
      </c>
      <c r="P30">
        <v>115.4</v>
      </c>
      <c r="Q30">
        <v>120.2</v>
      </c>
      <c r="R30">
        <v>112.5</v>
      </c>
      <c r="S30">
        <v>113.2</v>
      </c>
      <c r="T30">
        <v>111.2</v>
      </c>
      <c r="U30">
        <v>112.8</v>
      </c>
      <c r="V30">
        <v>110.5</v>
      </c>
      <c r="W30">
        <v>110.9</v>
      </c>
      <c r="X30">
        <v>110.3</v>
      </c>
      <c r="Y30">
        <v>108.6</v>
      </c>
      <c r="Z30">
        <v>107.4</v>
      </c>
      <c r="AA30">
        <v>110.8</v>
      </c>
      <c r="AB30">
        <v>108.1</v>
      </c>
      <c r="AC30">
        <v>109.5</v>
      </c>
      <c r="AD30">
        <v>109.2</v>
      </c>
      <c r="AE30">
        <v>114.8</v>
      </c>
    </row>
    <row r="31" spans="1:31" x14ac:dyDescent="0.3">
      <c r="A31" t="s">
        <v>29</v>
      </c>
      <c r="B31">
        <v>2013</v>
      </c>
      <c r="C31" t="s">
        <v>39</v>
      </c>
      <c r="D31">
        <f t="shared" si="0"/>
        <v>10</v>
      </c>
      <c r="E31">
        <v>118.9</v>
      </c>
      <c r="F31">
        <v>118.1</v>
      </c>
      <c r="G31">
        <v>114.5</v>
      </c>
      <c r="H31">
        <v>110.4</v>
      </c>
      <c r="I31">
        <v>102.3</v>
      </c>
      <c r="J31">
        <v>106.2</v>
      </c>
      <c r="K31">
        <v>183.5</v>
      </c>
      <c r="L31">
        <v>105.3</v>
      </c>
      <c r="M31">
        <v>100.2</v>
      </c>
      <c r="N31">
        <v>109.6</v>
      </c>
      <c r="O31">
        <v>111.4</v>
      </c>
      <c r="P31">
        <v>116</v>
      </c>
      <c r="Q31">
        <v>120.8</v>
      </c>
      <c r="R31">
        <v>113.5</v>
      </c>
      <c r="S31">
        <v>112.5</v>
      </c>
      <c r="T31">
        <v>109.7</v>
      </c>
      <c r="U31">
        <v>112</v>
      </c>
      <c r="V31">
        <v>110.5</v>
      </c>
      <c r="W31">
        <v>109.7</v>
      </c>
      <c r="X31">
        <v>110.2</v>
      </c>
      <c r="Y31">
        <v>108.2</v>
      </c>
      <c r="Z31">
        <v>107.3</v>
      </c>
      <c r="AA31">
        <v>111.3</v>
      </c>
      <c r="AB31">
        <v>108</v>
      </c>
      <c r="AC31">
        <v>109.7</v>
      </c>
      <c r="AD31">
        <v>109.4</v>
      </c>
      <c r="AE31">
        <v>114</v>
      </c>
    </row>
    <row r="32" spans="1:31" x14ac:dyDescent="0.3">
      <c r="A32" t="s">
        <v>27</v>
      </c>
      <c r="B32">
        <v>2013</v>
      </c>
      <c r="C32" t="s">
        <v>41</v>
      </c>
      <c r="D32">
        <v>11</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s="2">
        <f>'Missing values'!V319</f>
        <v>111.1</v>
      </c>
      <c r="W32">
        <v>112.6</v>
      </c>
      <c r="X32">
        <v>111.3</v>
      </c>
      <c r="Y32">
        <v>109.7</v>
      </c>
      <c r="Z32">
        <v>108.2</v>
      </c>
      <c r="AA32">
        <v>111</v>
      </c>
      <c r="AB32">
        <v>108.7</v>
      </c>
      <c r="AC32">
        <v>109.6</v>
      </c>
      <c r="AD32">
        <v>109.8</v>
      </c>
      <c r="AE32">
        <v>117.4</v>
      </c>
    </row>
    <row r="33" spans="1:31" x14ac:dyDescent="0.3">
      <c r="A33" t="s">
        <v>30</v>
      </c>
      <c r="B33">
        <v>2013</v>
      </c>
      <c r="C33" t="s">
        <v>41</v>
      </c>
      <c r="D33">
        <f t="shared" ref="D33:D44" si="1">IF(C33="January",1,
IF(C33="february",2,
IF(C33="march",3,
IF(C33="april",4,
IF(C33="may",5,
IF(C33="june",6,
IF(C33="july",7,
IF(C33="august",8,
IF(C33="september",9,
IF(C33="october",10,
IF(C33="november",11,
IF(C33="december",12,
))))))))))))</f>
        <v>11</v>
      </c>
      <c r="E33">
        <v>118.1</v>
      </c>
      <c r="F33">
        <v>115.4</v>
      </c>
      <c r="G33">
        <v>118.7</v>
      </c>
      <c r="H33">
        <v>112.5</v>
      </c>
      <c r="I33">
        <v>106.8</v>
      </c>
      <c r="J33">
        <v>113.5</v>
      </c>
      <c r="K33">
        <v>183.1</v>
      </c>
      <c r="L33">
        <v>108.2</v>
      </c>
      <c r="M33">
        <v>102.2</v>
      </c>
      <c r="N33">
        <v>109.4</v>
      </c>
      <c r="O33">
        <v>111.8</v>
      </c>
      <c r="P33">
        <v>116.5</v>
      </c>
      <c r="Q33">
        <v>122.6</v>
      </c>
      <c r="R33">
        <v>113.1</v>
      </c>
      <c r="S33">
        <v>114.2</v>
      </c>
      <c r="T33">
        <v>111.9</v>
      </c>
      <c r="U33">
        <v>113.8</v>
      </c>
      <c r="V33">
        <v>111.1</v>
      </c>
      <c r="W33">
        <v>111.6</v>
      </c>
      <c r="X33">
        <v>111.1</v>
      </c>
      <c r="Y33">
        <v>109.3</v>
      </c>
      <c r="Z33">
        <v>108.1</v>
      </c>
      <c r="AA33">
        <v>111.2</v>
      </c>
      <c r="AB33">
        <v>108.6</v>
      </c>
      <c r="AC33">
        <v>109.5</v>
      </c>
      <c r="AD33">
        <v>109.7</v>
      </c>
      <c r="AE33">
        <v>116.3</v>
      </c>
    </row>
    <row r="34" spans="1:31" x14ac:dyDescent="0.3">
      <c r="A34" t="s">
        <v>29</v>
      </c>
      <c r="B34">
        <v>2013</v>
      </c>
      <c r="C34" t="s">
        <v>41</v>
      </c>
      <c r="D34">
        <f t="shared" si="1"/>
        <v>11</v>
      </c>
      <c r="E34">
        <v>119.8</v>
      </c>
      <c r="F34">
        <v>116.3</v>
      </c>
      <c r="G34">
        <v>122.6</v>
      </c>
      <c r="H34">
        <v>112</v>
      </c>
      <c r="I34">
        <v>103.2</v>
      </c>
      <c r="J34">
        <v>110</v>
      </c>
      <c r="K34">
        <v>192.8</v>
      </c>
      <c r="L34">
        <v>106.3</v>
      </c>
      <c r="M34">
        <v>99.5</v>
      </c>
      <c r="N34">
        <v>110.3</v>
      </c>
      <c r="O34">
        <v>111.8</v>
      </c>
      <c r="P34">
        <v>117.1</v>
      </c>
      <c r="Q34">
        <v>122.9</v>
      </c>
      <c r="R34">
        <v>114.1</v>
      </c>
      <c r="S34">
        <v>113.5</v>
      </c>
      <c r="T34">
        <v>110.3</v>
      </c>
      <c r="U34">
        <v>113</v>
      </c>
      <c r="V34">
        <v>111.1</v>
      </c>
      <c r="W34">
        <v>110</v>
      </c>
      <c r="X34">
        <v>110.9</v>
      </c>
      <c r="Y34">
        <v>108.6</v>
      </c>
      <c r="Z34">
        <v>107.9</v>
      </c>
      <c r="AA34">
        <v>111.3</v>
      </c>
      <c r="AB34">
        <v>108.5</v>
      </c>
      <c r="AC34">
        <v>109.5</v>
      </c>
      <c r="AD34">
        <v>109.6</v>
      </c>
      <c r="AE34">
        <v>115</v>
      </c>
    </row>
    <row r="35" spans="1:31" x14ac:dyDescent="0.3">
      <c r="A35" t="s">
        <v>27</v>
      </c>
      <c r="B35">
        <v>2013</v>
      </c>
      <c r="C35" t="s">
        <v>42</v>
      </c>
      <c r="D35">
        <f t="shared" si="1"/>
        <v>12</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s="2">
        <f>'Missing values'!V349</f>
        <v>110.7</v>
      </c>
      <c r="W35">
        <v>112.8</v>
      </c>
      <c r="X35">
        <v>112.1</v>
      </c>
      <c r="Y35">
        <v>110.1</v>
      </c>
      <c r="Z35">
        <v>108.1</v>
      </c>
      <c r="AA35">
        <v>111.6</v>
      </c>
      <c r="AB35">
        <v>109.2</v>
      </c>
      <c r="AC35">
        <v>109.9</v>
      </c>
      <c r="AD35">
        <v>110.1</v>
      </c>
      <c r="AE35">
        <v>115.5</v>
      </c>
    </row>
    <row r="36" spans="1:31" x14ac:dyDescent="0.3">
      <c r="A36" t="s">
        <v>30</v>
      </c>
      <c r="B36">
        <v>2013</v>
      </c>
      <c r="C36" t="s">
        <v>42</v>
      </c>
      <c r="D36">
        <f t="shared" si="1"/>
        <v>12</v>
      </c>
      <c r="E36">
        <v>119.1</v>
      </c>
      <c r="F36">
        <v>116.7</v>
      </c>
      <c r="G36">
        <v>123.5</v>
      </c>
      <c r="H36">
        <v>113.4</v>
      </c>
      <c r="I36">
        <v>107.3</v>
      </c>
      <c r="J36">
        <v>113.3</v>
      </c>
      <c r="K36">
        <v>145.4</v>
      </c>
      <c r="L36">
        <v>108.7</v>
      </c>
      <c r="M36">
        <v>101.5</v>
      </c>
      <c r="N36">
        <v>110.5</v>
      </c>
      <c r="O36">
        <v>112.1</v>
      </c>
      <c r="P36">
        <v>117.4</v>
      </c>
      <c r="Q36">
        <v>118.4</v>
      </c>
      <c r="R36">
        <v>114</v>
      </c>
      <c r="S36">
        <v>115.2</v>
      </c>
      <c r="T36">
        <v>112.7</v>
      </c>
      <c r="U36">
        <v>114.8</v>
      </c>
      <c r="V36">
        <v>110.7</v>
      </c>
      <c r="W36">
        <v>111.9</v>
      </c>
      <c r="X36">
        <v>111.7</v>
      </c>
      <c r="Y36">
        <v>109.7</v>
      </c>
      <c r="Z36">
        <v>107.9</v>
      </c>
      <c r="AA36">
        <v>111.5</v>
      </c>
      <c r="AB36">
        <v>109</v>
      </c>
      <c r="AC36">
        <v>109.8</v>
      </c>
      <c r="AD36">
        <v>110</v>
      </c>
      <c r="AE36">
        <v>114.5</v>
      </c>
    </row>
    <row r="37" spans="1:31" x14ac:dyDescent="0.3">
      <c r="A37" t="s">
        <v>29</v>
      </c>
      <c r="B37">
        <v>2013</v>
      </c>
      <c r="C37" t="s">
        <v>42</v>
      </c>
      <c r="D37">
        <f t="shared" si="1"/>
        <v>12</v>
      </c>
      <c r="E37">
        <v>120.5</v>
      </c>
      <c r="F37">
        <v>118.1</v>
      </c>
      <c r="G37">
        <v>128.5</v>
      </c>
      <c r="H37">
        <v>112.8</v>
      </c>
      <c r="I37">
        <v>103.4</v>
      </c>
      <c r="J37">
        <v>110.7</v>
      </c>
      <c r="K37">
        <v>144.80000000000001</v>
      </c>
      <c r="L37">
        <v>107.1</v>
      </c>
      <c r="M37">
        <v>98.6</v>
      </c>
      <c r="N37">
        <v>111.9</v>
      </c>
      <c r="O37">
        <v>112.1</v>
      </c>
      <c r="P37">
        <v>118.1</v>
      </c>
      <c r="Q37">
        <v>117.8</v>
      </c>
      <c r="R37">
        <v>115</v>
      </c>
      <c r="S37">
        <v>114.2</v>
      </c>
      <c r="T37">
        <v>110.9</v>
      </c>
      <c r="U37">
        <v>113.7</v>
      </c>
      <c r="V37">
        <v>110.7</v>
      </c>
      <c r="W37">
        <v>110.4</v>
      </c>
      <c r="X37">
        <v>111.3</v>
      </c>
      <c r="Y37">
        <v>109</v>
      </c>
      <c r="Z37">
        <v>107.7</v>
      </c>
      <c r="AA37">
        <v>111.4</v>
      </c>
      <c r="AB37">
        <v>108.9</v>
      </c>
      <c r="AC37">
        <v>109.7</v>
      </c>
      <c r="AD37">
        <v>109.8</v>
      </c>
      <c r="AE37">
        <v>113.3</v>
      </c>
    </row>
    <row r="38" spans="1:31" x14ac:dyDescent="0.3">
      <c r="A38" t="s">
        <v>27</v>
      </c>
      <c r="B38">
        <v>2014</v>
      </c>
      <c r="C38" t="s">
        <v>28</v>
      </c>
      <c r="D38">
        <f t="shared" si="1"/>
        <v>1</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s="2">
        <f>'Missing values'!V10</f>
        <v>111.6</v>
      </c>
      <c r="W38">
        <v>113</v>
      </c>
      <c r="X38">
        <v>112.6</v>
      </c>
      <c r="Y38">
        <v>110.6</v>
      </c>
      <c r="Z38">
        <v>108.3</v>
      </c>
      <c r="AA38">
        <v>111.8</v>
      </c>
      <c r="AB38">
        <v>109.6</v>
      </c>
      <c r="AC38">
        <v>110.5</v>
      </c>
      <c r="AD38">
        <v>110.6</v>
      </c>
      <c r="AE38">
        <v>114.2</v>
      </c>
    </row>
    <row r="39" spans="1:31" x14ac:dyDescent="0.3">
      <c r="A39" t="s">
        <v>30</v>
      </c>
      <c r="B39">
        <v>2014</v>
      </c>
      <c r="C39" t="s">
        <v>28</v>
      </c>
      <c r="D39">
        <f t="shared" si="1"/>
        <v>1</v>
      </c>
      <c r="E39">
        <v>119.6</v>
      </c>
      <c r="F39">
        <v>118.8</v>
      </c>
      <c r="G39">
        <v>124.1</v>
      </c>
      <c r="H39">
        <v>114.1</v>
      </c>
      <c r="I39">
        <v>106.8</v>
      </c>
      <c r="J39">
        <v>113.9</v>
      </c>
      <c r="K39">
        <v>122.2</v>
      </c>
      <c r="L39">
        <v>108.9</v>
      </c>
      <c r="M39">
        <v>100.2</v>
      </c>
      <c r="N39">
        <v>111</v>
      </c>
      <c r="O39">
        <v>112.3</v>
      </c>
      <c r="P39">
        <v>118.1</v>
      </c>
      <c r="Q39">
        <v>115.8</v>
      </c>
      <c r="R39">
        <v>114.5</v>
      </c>
      <c r="S39">
        <v>115.8</v>
      </c>
      <c r="T39">
        <v>113.2</v>
      </c>
      <c r="U39">
        <v>115.4</v>
      </c>
      <c r="V39">
        <v>111.6</v>
      </c>
      <c r="W39">
        <v>112.2</v>
      </c>
      <c r="X39">
        <v>112.3</v>
      </c>
      <c r="Y39">
        <v>110.3</v>
      </c>
      <c r="Z39">
        <v>108.2</v>
      </c>
      <c r="AA39">
        <v>111.6</v>
      </c>
      <c r="AB39">
        <v>109.7</v>
      </c>
      <c r="AC39">
        <v>110.7</v>
      </c>
      <c r="AD39">
        <v>110.6</v>
      </c>
      <c r="AE39">
        <v>113.6</v>
      </c>
    </row>
    <row r="40" spans="1:31" x14ac:dyDescent="0.3">
      <c r="A40" t="s">
        <v>29</v>
      </c>
      <c r="B40">
        <v>2014</v>
      </c>
      <c r="C40" t="s">
        <v>28</v>
      </c>
      <c r="D40">
        <f>IF(C40="January",1,
IF(C40="february",2,
IF(C40="march",3,
IF(C40="april",4,
IF(C40="may",5,
IF(C40="june",6,
IF(C40="july",7,
IF(C40="august",8,
IF(C40="september",9,
IF(C40="october",10,
IF(C40="november",11,
IF(C40="december",12,
))))))))))))</f>
        <v>1</v>
      </c>
      <c r="E40">
        <v>121.2</v>
      </c>
      <c r="F40">
        <v>122</v>
      </c>
      <c r="G40">
        <v>129.9</v>
      </c>
      <c r="H40">
        <v>113.6</v>
      </c>
      <c r="I40">
        <v>102.9</v>
      </c>
      <c r="J40">
        <v>112.1</v>
      </c>
      <c r="K40">
        <v>118.9</v>
      </c>
      <c r="L40">
        <v>107.5</v>
      </c>
      <c r="M40">
        <v>96.9</v>
      </c>
      <c r="N40">
        <v>112.7</v>
      </c>
      <c r="O40">
        <v>112.1</v>
      </c>
      <c r="P40">
        <v>119</v>
      </c>
      <c r="Q40">
        <v>115.5</v>
      </c>
      <c r="R40">
        <v>115.7</v>
      </c>
      <c r="S40">
        <v>114.8</v>
      </c>
      <c r="T40">
        <v>111.3</v>
      </c>
      <c r="U40">
        <v>114.3</v>
      </c>
      <c r="V40">
        <v>111.6</v>
      </c>
      <c r="W40">
        <v>111</v>
      </c>
      <c r="X40">
        <v>111.9</v>
      </c>
      <c r="Y40">
        <v>109.7</v>
      </c>
      <c r="Z40">
        <v>108</v>
      </c>
      <c r="AA40">
        <v>111.5</v>
      </c>
      <c r="AB40">
        <v>109.8</v>
      </c>
      <c r="AC40">
        <v>110.8</v>
      </c>
      <c r="AD40">
        <v>110.5</v>
      </c>
      <c r="AE40">
        <v>112.9</v>
      </c>
    </row>
    <row r="41" spans="1:31" x14ac:dyDescent="0.3">
      <c r="A41" t="s">
        <v>27</v>
      </c>
      <c r="B41">
        <v>2014</v>
      </c>
      <c r="C41" t="s">
        <v>31</v>
      </c>
      <c r="D41">
        <f t="shared" si="1"/>
        <v>2</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s="2">
        <f>'Missing values'!V43</f>
        <v>112.5</v>
      </c>
      <c r="W41">
        <v>113.2</v>
      </c>
      <c r="X41">
        <v>112.9</v>
      </c>
      <c r="Y41">
        <v>110.9</v>
      </c>
      <c r="Z41">
        <v>108.7</v>
      </c>
      <c r="AA41">
        <v>112</v>
      </c>
      <c r="AB41">
        <v>109.9</v>
      </c>
      <c r="AC41">
        <v>110.8</v>
      </c>
      <c r="AD41">
        <v>110.9</v>
      </c>
      <c r="AE41">
        <v>114</v>
      </c>
    </row>
    <row r="42" spans="1:31" x14ac:dyDescent="0.3">
      <c r="A42" t="s">
        <v>30</v>
      </c>
      <c r="B42">
        <v>2014</v>
      </c>
      <c r="C42" t="s">
        <v>31</v>
      </c>
      <c r="D42">
        <f t="shared" si="1"/>
        <v>2</v>
      </c>
      <c r="E42">
        <v>120.2</v>
      </c>
      <c r="F42">
        <v>119.2</v>
      </c>
      <c r="G42">
        <v>122.5</v>
      </c>
      <c r="H42">
        <v>115.1</v>
      </c>
      <c r="I42">
        <v>106.6</v>
      </c>
      <c r="J42">
        <v>115.4</v>
      </c>
      <c r="K42">
        <v>114.5</v>
      </c>
      <c r="L42">
        <v>109.3</v>
      </c>
      <c r="M42">
        <v>99.2</v>
      </c>
      <c r="N42">
        <v>111.4</v>
      </c>
      <c r="O42">
        <v>112.6</v>
      </c>
      <c r="P42">
        <v>118.8</v>
      </c>
      <c r="Q42">
        <v>115.3</v>
      </c>
      <c r="R42">
        <v>114.7</v>
      </c>
      <c r="S42">
        <v>116.4</v>
      </c>
      <c r="T42">
        <v>113.3</v>
      </c>
      <c r="U42">
        <v>115.9</v>
      </c>
      <c r="V42">
        <v>112.5</v>
      </c>
      <c r="W42">
        <v>112.4</v>
      </c>
      <c r="X42">
        <v>112.8</v>
      </c>
      <c r="Y42">
        <v>110.7</v>
      </c>
      <c r="Z42">
        <v>108.7</v>
      </c>
      <c r="AA42">
        <v>111.8</v>
      </c>
      <c r="AB42">
        <v>110.1</v>
      </c>
      <c r="AC42">
        <v>111.1</v>
      </c>
      <c r="AD42">
        <v>110.9</v>
      </c>
      <c r="AE42">
        <v>113.6</v>
      </c>
    </row>
    <row r="43" spans="1:31" x14ac:dyDescent="0.3">
      <c r="A43" t="s">
        <v>29</v>
      </c>
      <c r="B43">
        <v>2014</v>
      </c>
      <c r="C43" t="s">
        <v>31</v>
      </c>
      <c r="D43">
        <f t="shared" si="1"/>
        <v>2</v>
      </c>
      <c r="E43">
        <v>121.9</v>
      </c>
      <c r="F43">
        <v>122</v>
      </c>
      <c r="G43">
        <v>124.5</v>
      </c>
      <c r="H43">
        <v>115.2</v>
      </c>
      <c r="I43">
        <v>102.5</v>
      </c>
      <c r="J43">
        <v>114.1</v>
      </c>
      <c r="K43">
        <v>111.5</v>
      </c>
      <c r="L43">
        <v>108.2</v>
      </c>
      <c r="M43">
        <v>95.4</v>
      </c>
      <c r="N43">
        <v>113.5</v>
      </c>
      <c r="O43">
        <v>112.1</v>
      </c>
      <c r="P43">
        <v>119.9</v>
      </c>
      <c r="Q43">
        <v>115.2</v>
      </c>
      <c r="R43">
        <v>116.2</v>
      </c>
      <c r="S43">
        <v>115.3</v>
      </c>
      <c r="T43">
        <v>111.7</v>
      </c>
      <c r="U43">
        <v>114.7</v>
      </c>
      <c r="V43">
        <v>112.5</v>
      </c>
      <c r="W43">
        <v>111.1</v>
      </c>
      <c r="X43">
        <v>112.6</v>
      </c>
      <c r="Y43">
        <v>110.4</v>
      </c>
      <c r="Z43">
        <v>108.7</v>
      </c>
      <c r="AA43">
        <v>111.6</v>
      </c>
      <c r="AB43">
        <v>110.3</v>
      </c>
      <c r="AC43">
        <v>111.3</v>
      </c>
      <c r="AD43">
        <v>111</v>
      </c>
      <c r="AE43">
        <v>113.1</v>
      </c>
    </row>
    <row r="44" spans="1:31" x14ac:dyDescent="0.3">
      <c r="A44" t="s">
        <v>27</v>
      </c>
      <c r="B44">
        <v>2014</v>
      </c>
      <c r="C44" t="s">
        <v>32</v>
      </c>
      <c r="D44">
        <f t="shared" si="1"/>
        <v>3</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s="2">
        <f>'Missing values'!V76</f>
        <v>113.2</v>
      </c>
      <c r="W44">
        <v>113.4</v>
      </c>
      <c r="X44">
        <v>113.4</v>
      </c>
      <c r="Y44">
        <v>111.4</v>
      </c>
      <c r="Z44">
        <v>108.9</v>
      </c>
      <c r="AA44">
        <v>112.4</v>
      </c>
      <c r="AB44">
        <v>110.2</v>
      </c>
      <c r="AC44">
        <v>111.2</v>
      </c>
      <c r="AD44">
        <v>111.3</v>
      </c>
      <c r="AE44">
        <v>114.6</v>
      </c>
    </row>
    <row r="45" spans="1:31" x14ac:dyDescent="0.3">
      <c r="A45" t="s">
        <v>30</v>
      </c>
      <c r="B45">
        <v>2014</v>
      </c>
      <c r="C45" t="s">
        <v>32</v>
      </c>
      <c r="D45">
        <v>3</v>
      </c>
      <c r="E45">
        <v>120.7</v>
      </c>
      <c r="F45">
        <v>119.3</v>
      </c>
      <c r="G45">
        <v>121</v>
      </c>
      <c r="H45">
        <v>116.1</v>
      </c>
      <c r="I45">
        <v>106.9</v>
      </c>
      <c r="J45">
        <v>118.7</v>
      </c>
      <c r="K45">
        <v>116.3</v>
      </c>
      <c r="L45">
        <v>109.8</v>
      </c>
      <c r="M45">
        <v>99.6</v>
      </c>
      <c r="N45">
        <v>111.8</v>
      </c>
      <c r="O45">
        <v>112.7</v>
      </c>
      <c r="P45">
        <v>119.3</v>
      </c>
      <c r="Q45">
        <v>116.1</v>
      </c>
      <c r="R45">
        <v>115.2</v>
      </c>
      <c r="S45">
        <v>116.8</v>
      </c>
      <c r="T45">
        <v>113.7</v>
      </c>
      <c r="U45">
        <v>116.4</v>
      </c>
      <c r="V45">
        <v>113.2</v>
      </c>
      <c r="W45">
        <v>112.5</v>
      </c>
      <c r="X45">
        <v>113.2</v>
      </c>
      <c r="Y45">
        <v>111.2</v>
      </c>
      <c r="Z45">
        <v>109</v>
      </c>
      <c r="AA45">
        <v>112</v>
      </c>
      <c r="AB45">
        <v>110.6</v>
      </c>
      <c r="AC45">
        <v>111.4</v>
      </c>
      <c r="AD45">
        <v>111.3</v>
      </c>
      <c r="AE45">
        <v>114.2</v>
      </c>
    </row>
    <row r="46" spans="1:31" x14ac:dyDescent="0.3">
      <c r="A46" t="s">
        <v>29</v>
      </c>
      <c r="B46">
        <v>2014</v>
      </c>
      <c r="C46" t="s">
        <v>32</v>
      </c>
      <c r="D46">
        <f t="shared" ref="D46:D109" si="2">IF(C46="January",1,
IF(C46="february",2,
IF(C46="march",3,
IF(C46="april",4,
IF(C46="may",5,
IF(C46="june",6,
IF(C46="july",7,
IF(C46="august",8,
IF(C46="september",9,
IF(C46="october",10,
IF(C46="november",11,
IF(C46="december",12,
))))))))))))</f>
        <v>3</v>
      </c>
      <c r="E46">
        <v>122.1</v>
      </c>
      <c r="F46">
        <v>121.4</v>
      </c>
      <c r="G46">
        <v>121.5</v>
      </c>
      <c r="H46">
        <v>116.2</v>
      </c>
      <c r="I46">
        <v>102.8</v>
      </c>
      <c r="J46">
        <v>117.7</v>
      </c>
      <c r="K46">
        <v>113.3</v>
      </c>
      <c r="L46">
        <v>108.9</v>
      </c>
      <c r="M46">
        <v>96.3</v>
      </c>
      <c r="N46">
        <v>114.1</v>
      </c>
      <c r="O46">
        <v>112.2</v>
      </c>
      <c r="P46">
        <v>120.5</v>
      </c>
      <c r="Q46">
        <v>116</v>
      </c>
      <c r="R46">
        <v>116.7</v>
      </c>
      <c r="S46">
        <v>115.8</v>
      </c>
      <c r="T46">
        <v>112.1</v>
      </c>
      <c r="U46">
        <v>115.2</v>
      </c>
      <c r="V46">
        <v>113.2</v>
      </c>
      <c r="W46">
        <v>110.9</v>
      </c>
      <c r="X46">
        <v>113</v>
      </c>
      <c r="Y46">
        <v>110.8</v>
      </c>
      <c r="Z46">
        <v>109.2</v>
      </c>
      <c r="AA46">
        <v>111.8</v>
      </c>
      <c r="AB46">
        <v>110.9</v>
      </c>
      <c r="AC46">
        <v>111.6</v>
      </c>
      <c r="AD46">
        <v>111.4</v>
      </c>
      <c r="AE46">
        <v>113.7</v>
      </c>
    </row>
    <row r="47" spans="1:31" x14ac:dyDescent="0.3">
      <c r="A47" t="s">
        <v>27</v>
      </c>
      <c r="B47">
        <v>2014</v>
      </c>
      <c r="C47" t="s">
        <v>33</v>
      </c>
      <c r="D47">
        <f t="shared" si="2"/>
        <v>4</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s="2">
        <f>'Missing values'!V109</f>
        <v>113.9</v>
      </c>
      <c r="W47">
        <v>113.4</v>
      </c>
      <c r="X47">
        <v>113.7</v>
      </c>
      <c r="Y47">
        <v>111.8</v>
      </c>
      <c r="Z47">
        <v>108.9</v>
      </c>
      <c r="AA47">
        <v>113</v>
      </c>
      <c r="AB47">
        <v>110.5</v>
      </c>
      <c r="AC47">
        <v>111.2</v>
      </c>
      <c r="AD47">
        <v>111.5</v>
      </c>
      <c r="AE47">
        <v>115.4</v>
      </c>
    </row>
    <row r="48" spans="1:31" x14ac:dyDescent="0.3">
      <c r="A48" t="s">
        <v>30</v>
      </c>
      <c r="B48">
        <v>2014</v>
      </c>
      <c r="C48" t="s">
        <v>33</v>
      </c>
      <c r="D48">
        <f t="shared" si="2"/>
        <v>4</v>
      </c>
      <c r="E48">
        <v>120.9</v>
      </c>
      <c r="F48">
        <v>119.9</v>
      </c>
      <c r="G48">
        <v>116.2</v>
      </c>
      <c r="H48">
        <v>117</v>
      </c>
      <c r="I48">
        <v>107.3</v>
      </c>
      <c r="J48">
        <v>126.1</v>
      </c>
      <c r="K48">
        <v>120.7</v>
      </c>
      <c r="L48">
        <v>111</v>
      </c>
      <c r="M48">
        <v>101.8</v>
      </c>
      <c r="N48">
        <v>112.6</v>
      </c>
      <c r="O48">
        <v>113.2</v>
      </c>
      <c r="P48">
        <v>119.8</v>
      </c>
      <c r="Q48">
        <v>117.6</v>
      </c>
      <c r="R48">
        <v>116</v>
      </c>
      <c r="S48">
        <v>117.4</v>
      </c>
      <c r="T48">
        <v>114.6</v>
      </c>
      <c r="U48">
        <v>117</v>
      </c>
      <c r="V48">
        <v>113.9</v>
      </c>
      <c r="W48">
        <v>112.5</v>
      </c>
      <c r="X48">
        <v>113.6</v>
      </c>
      <c r="Y48">
        <v>111.5</v>
      </c>
      <c r="Z48">
        <v>109</v>
      </c>
      <c r="AA48">
        <v>112.7</v>
      </c>
      <c r="AB48">
        <v>110.9</v>
      </c>
      <c r="AC48">
        <v>111.2</v>
      </c>
      <c r="AD48">
        <v>111.5</v>
      </c>
      <c r="AE48">
        <v>115.1</v>
      </c>
    </row>
    <row r="49" spans="1:31" x14ac:dyDescent="0.3">
      <c r="A49" t="s">
        <v>29</v>
      </c>
      <c r="B49">
        <v>2014</v>
      </c>
      <c r="C49" t="s">
        <v>33</v>
      </c>
      <c r="D49">
        <f t="shared" si="2"/>
        <v>4</v>
      </c>
      <c r="E49">
        <v>122.5</v>
      </c>
      <c r="F49">
        <v>121.7</v>
      </c>
      <c r="G49">
        <v>113.3</v>
      </c>
      <c r="H49">
        <v>117</v>
      </c>
      <c r="I49">
        <v>103.1</v>
      </c>
      <c r="J49">
        <v>126.7</v>
      </c>
      <c r="K49">
        <v>121.2</v>
      </c>
      <c r="L49">
        <v>111</v>
      </c>
      <c r="M49">
        <v>100.3</v>
      </c>
      <c r="N49">
        <v>115.3</v>
      </c>
      <c r="O49">
        <v>112.7</v>
      </c>
      <c r="P49">
        <v>121</v>
      </c>
      <c r="Q49">
        <v>118.2</v>
      </c>
      <c r="R49">
        <v>117.6</v>
      </c>
      <c r="S49">
        <v>116.3</v>
      </c>
      <c r="T49">
        <v>112.5</v>
      </c>
      <c r="U49">
        <v>115.7</v>
      </c>
      <c r="V49">
        <v>113.9</v>
      </c>
      <c r="W49">
        <v>110.9</v>
      </c>
      <c r="X49">
        <v>113.4</v>
      </c>
      <c r="Y49">
        <v>111</v>
      </c>
      <c r="Z49">
        <v>109.1</v>
      </c>
      <c r="AA49">
        <v>112.5</v>
      </c>
      <c r="AB49">
        <v>111.2</v>
      </c>
      <c r="AC49">
        <v>111.2</v>
      </c>
      <c r="AD49">
        <v>111.4</v>
      </c>
      <c r="AE49">
        <v>114.7</v>
      </c>
    </row>
    <row r="50" spans="1:31" x14ac:dyDescent="0.3">
      <c r="A50" t="s">
        <v>27</v>
      </c>
      <c r="B50">
        <v>2014</v>
      </c>
      <c r="C50" t="s">
        <v>34</v>
      </c>
      <c r="D50">
        <f t="shared" si="2"/>
        <v>5</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s="2">
        <f>'Missing values'!V139</f>
        <v>114.3</v>
      </c>
      <c r="W50">
        <v>113.4</v>
      </c>
      <c r="X50">
        <v>114.1</v>
      </c>
      <c r="Y50">
        <v>112.1</v>
      </c>
      <c r="Z50">
        <v>108.9</v>
      </c>
      <c r="AA50">
        <v>113.1</v>
      </c>
      <c r="AB50">
        <v>110.9</v>
      </c>
      <c r="AC50">
        <v>111.4</v>
      </c>
      <c r="AD50">
        <v>111.8</v>
      </c>
      <c r="AE50">
        <v>116</v>
      </c>
    </row>
    <row r="51" spans="1:31" x14ac:dyDescent="0.3">
      <c r="A51" t="s">
        <v>30</v>
      </c>
      <c r="B51">
        <v>2014</v>
      </c>
      <c r="C51" t="s">
        <v>34</v>
      </c>
      <c r="D51">
        <f t="shared" si="2"/>
        <v>5</v>
      </c>
      <c r="E51">
        <v>121.1</v>
      </c>
      <c r="F51">
        <v>121.6</v>
      </c>
      <c r="G51">
        <v>115.9</v>
      </c>
      <c r="H51">
        <v>118.4</v>
      </c>
      <c r="I51">
        <v>107.7</v>
      </c>
      <c r="J51">
        <v>127.7</v>
      </c>
      <c r="K51">
        <v>125</v>
      </c>
      <c r="L51">
        <v>111.9</v>
      </c>
      <c r="M51">
        <v>102.8</v>
      </c>
      <c r="N51">
        <v>113.4</v>
      </c>
      <c r="O51">
        <v>113.7</v>
      </c>
      <c r="P51">
        <v>120.4</v>
      </c>
      <c r="Q51">
        <v>118.9</v>
      </c>
      <c r="R51">
        <v>116.8</v>
      </c>
      <c r="S51">
        <v>118</v>
      </c>
      <c r="T51">
        <v>115.2</v>
      </c>
      <c r="U51">
        <v>117.6</v>
      </c>
      <c r="V51">
        <v>114.3</v>
      </c>
      <c r="W51">
        <v>112.5</v>
      </c>
      <c r="X51">
        <v>114.1</v>
      </c>
      <c r="Y51">
        <v>111.8</v>
      </c>
      <c r="Z51">
        <v>109.1</v>
      </c>
      <c r="AA51">
        <v>113</v>
      </c>
      <c r="AB51">
        <v>111.2</v>
      </c>
      <c r="AC51">
        <v>111.3</v>
      </c>
      <c r="AD51">
        <v>111.8</v>
      </c>
      <c r="AE51">
        <v>115.8</v>
      </c>
    </row>
    <row r="52" spans="1:31" x14ac:dyDescent="0.3">
      <c r="A52" t="s">
        <v>29</v>
      </c>
      <c r="B52">
        <v>2014</v>
      </c>
      <c r="C52" t="s">
        <v>34</v>
      </c>
      <c r="D52">
        <f t="shared" si="2"/>
        <v>5</v>
      </c>
      <c r="E52">
        <v>122.7</v>
      </c>
      <c r="F52">
        <v>124.1</v>
      </c>
      <c r="G52">
        <v>114.2</v>
      </c>
      <c r="H52">
        <v>119.1</v>
      </c>
      <c r="I52">
        <v>103.5</v>
      </c>
      <c r="J52">
        <v>129.19999999999999</v>
      </c>
      <c r="K52">
        <v>127</v>
      </c>
      <c r="L52">
        <v>112.6</v>
      </c>
      <c r="M52">
        <v>101.3</v>
      </c>
      <c r="N52">
        <v>117</v>
      </c>
      <c r="O52">
        <v>112.9</v>
      </c>
      <c r="P52">
        <v>121.7</v>
      </c>
      <c r="Q52">
        <v>120</v>
      </c>
      <c r="R52">
        <v>118.3</v>
      </c>
      <c r="S52">
        <v>116.8</v>
      </c>
      <c r="T52">
        <v>112.9</v>
      </c>
      <c r="U52">
        <v>116.2</v>
      </c>
      <c r="V52">
        <v>114.3</v>
      </c>
      <c r="W52">
        <v>111.1</v>
      </c>
      <c r="X52">
        <v>114.1</v>
      </c>
      <c r="Y52">
        <v>111.2</v>
      </c>
      <c r="Z52">
        <v>109.3</v>
      </c>
      <c r="AA52">
        <v>112.9</v>
      </c>
      <c r="AB52">
        <v>111.5</v>
      </c>
      <c r="AC52">
        <v>111.3</v>
      </c>
      <c r="AD52">
        <v>111.7</v>
      </c>
      <c r="AE52">
        <v>115.6</v>
      </c>
    </row>
    <row r="53" spans="1:31" x14ac:dyDescent="0.3">
      <c r="A53" t="s">
        <v>27</v>
      </c>
      <c r="B53">
        <v>2014</v>
      </c>
      <c r="C53" t="s">
        <v>35</v>
      </c>
      <c r="D53">
        <f t="shared" si="2"/>
        <v>6</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s="2">
        <f>'Missing values'!V172</f>
        <v>113.9</v>
      </c>
      <c r="W53">
        <v>114.4</v>
      </c>
      <c r="X53">
        <v>114.9</v>
      </c>
      <c r="Y53">
        <v>112.8</v>
      </c>
      <c r="Z53">
        <v>108</v>
      </c>
      <c r="AA53">
        <v>114.3</v>
      </c>
      <c r="AB53">
        <v>111.4</v>
      </c>
      <c r="AC53">
        <v>112.2</v>
      </c>
      <c r="AD53">
        <v>112.3</v>
      </c>
      <c r="AE53">
        <v>117</v>
      </c>
    </row>
    <row r="54" spans="1:31" x14ac:dyDescent="0.3">
      <c r="A54" t="s">
        <v>30</v>
      </c>
      <c r="B54">
        <v>2014</v>
      </c>
      <c r="C54" t="s">
        <v>35</v>
      </c>
      <c r="D54">
        <f t="shared" si="2"/>
        <v>6</v>
      </c>
      <c r="E54">
        <v>121.5</v>
      </c>
      <c r="F54">
        <v>123.1</v>
      </c>
      <c r="G54">
        <v>115.8</v>
      </c>
      <c r="H54">
        <v>119.7</v>
      </c>
      <c r="I54">
        <v>107.8</v>
      </c>
      <c r="J54">
        <v>128.30000000000001</v>
      </c>
      <c r="K54">
        <v>132.1</v>
      </c>
      <c r="L54">
        <v>112.4</v>
      </c>
      <c r="M54">
        <v>102.9</v>
      </c>
      <c r="N54">
        <v>114.3</v>
      </c>
      <c r="O54">
        <v>114.2</v>
      </c>
      <c r="P54">
        <v>121.2</v>
      </c>
      <c r="Q54">
        <v>120.4</v>
      </c>
      <c r="R54">
        <v>117.8</v>
      </c>
      <c r="S54">
        <v>118.8</v>
      </c>
      <c r="T54">
        <v>115.6</v>
      </c>
      <c r="U54">
        <v>118.3</v>
      </c>
      <c r="V54">
        <v>113.9</v>
      </c>
      <c r="W54">
        <v>113.2</v>
      </c>
      <c r="X54">
        <v>114.6</v>
      </c>
      <c r="Y54">
        <v>112.3</v>
      </c>
      <c r="Z54">
        <v>108.3</v>
      </c>
      <c r="AA54">
        <v>114.8</v>
      </c>
      <c r="AB54">
        <v>111.6</v>
      </c>
      <c r="AC54">
        <v>111.8</v>
      </c>
      <c r="AD54">
        <v>112.3</v>
      </c>
      <c r="AE54">
        <v>116.7</v>
      </c>
    </row>
    <row r="55" spans="1:31" x14ac:dyDescent="0.3">
      <c r="A55" t="s">
        <v>29</v>
      </c>
      <c r="B55">
        <v>2014</v>
      </c>
      <c r="C55" t="s">
        <v>35</v>
      </c>
      <c r="D55">
        <f t="shared" si="2"/>
        <v>6</v>
      </c>
      <c r="E55">
        <v>123.1</v>
      </c>
      <c r="F55">
        <v>125.9</v>
      </c>
      <c r="G55">
        <v>115.4</v>
      </c>
      <c r="H55">
        <v>120.4</v>
      </c>
      <c r="I55">
        <v>103.4</v>
      </c>
      <c r="J55">
        <v>131.19999999999999</v>
      </c>
      <c r="K55">
        <v>137.5</v>
      </c>
      <c r="L55">
        <v>112.8</v>
      </c>
      <c r="M55">
        <v>101.4</v>
      </c>
      <c r="N55">
        <v>118.3</v>
      </c>
      <c r="O55">
        <v>113.2</v>
      </c>
      <c r="P55">
        <v>122.4</v>
      </c>
      <c r="Q55">
        <v>122</v>
      </c>
      <c r="R55">
        <v>119</v>
      </c>
      <c r="S55">
        <v>117.4</v>
      </c>
      <c r="T55">
        <v>113.2</v>
      </c>
      <c r="U55">
        <v>116.7</v>
      </c>
      <c r="V55">
        <v>113.9</v>
      </c>
      <c r="W55">
        <v>111.2</v>
      </c>
      <c r="X55">
        <v>114.3</v>
      </c>
      <c r="Y55">
        <v>111.4</v>
      </c>
      <c r="Z55">
        <v>108.7</v>
      </c>
      <c r="AA55">
        <v>115.1</v>
      </c>
      <c r="AB55">
        <v>111.8</v>
      </c>
      <c r="AC55">
        <v>111.5</v>
      </c>
      <c r="AD55">
        <v>112.2</v>
      </c>
      <c r="AE55">
        <v>116.4</v>
      </c>
    </row>
    <row r="56" spans="1:31" x14ac:dyDescent="0.3">
      <c r="A56" t="s">
        <v>27</v>
      </c>
      <c r="B56">
        <v>2014</v>
      </c>
      <c r="C56" t="s">
        <v>36</v>
      </c>
      <c r="D56">
        <f t="shared" si="2"/>
        <v>7</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s="2">
        <f>'Missing values'!V202</f>
        <v>114.8</v>
      </c>
      <c r="W56">
        <v>115.3</v>
      </c>
      <c r="X56">
        <v>115.4</v>
      </c>
      <c r="Y56">
        <v>113.4</v>
      </c>
      <c r="Z56">
        <v>108.8</v>
      </c>
      <c r="AA56">
        <v>115.5</v>
      </c>
      <c r="AB56">
        <v>111.8</v>
      </c>
      <c r="AC56">
        <v>113.2</v>
      </c>
      <c r="AD56">
        <v>113.1</v>
      </c>
      <c r="AE56">
        <v>119.5</v>
      </c>
    </row>
    <row r="57" spans="1:31" x14ac:dyDescent="0.3">
      <c r="A57" t="s">
        <v>30</v>
      </c>
      <c r="B57">
        <v>2014</v>
      </c>
      <c r="C57" t="s">
        <v>36</v>
      </c>
      <c r="D57">
        <f t="shared" si="2"/>
        <v>7</v>
      </c>
      <c r="E57">
        <v>122.4</v>
      </c>
      <c r="F57">
        <v>123.9</v>
      </c>
      <c r="G57">
        <v>117.8</v>
      </c>
      <c r="H57">
        <v>121</v>
      </c>
      <c r="I57">
        <v>107.9</v>
      </c>
      <c r="J57">
        <v>131.19999999999999</v>
      </c>
      <c r="K57">
        <v>157.69999999999999</v>
      </c>
      <c r="L57">
        <v>113.2</v>
      </c>
      <c r="M57">
        <v>104.1</v>
      </c>
      <c r="N57">
        <v>115.5</v>
      </c>
      <c r="O57">
        <v>114.8</v>
      </c>
      <c r="P57">
        <v>122.1</v>
      </c>
      <c r="Q57">
        <v>124.7</v>
      </c>
      <c r="R57">
        <v>118.8</v>
      </c>
      <c r="S57">
        <v>119.6</v>
      </c>
      <c r="T57">
        <v>116.3</v>
      </c>
      <c r="U57">
        <v>119.1</v>
      </c>
      <c r="V57">
        <v>114.8</v>
      </c>
      <c r="W57">
        <v>113.9</v>
      </c>
      <c r="X57">
        <v>115.2</v>
      </c>
      <c r="Y57">
        <v>112.7</v>
      </c>
      <c r="Z57">
        <v>109.2</v>
      </c>
      <c r="AA57">
        <v>116.8</v>
      </c>
      <c r="AB57">
        <v>112.1</v>
      </c>
      <c r="AC57">
        <v>113.1</v>
      </c>
      <c r="AD57">
        <v>113.3</v>
      </c>
      <c r="AE57">
        <v>119.2</v>
      </c>
    </row>
    <row r="58" spans="1:31" x14ac:dyDescent="0.3">
      <c r="A58" t="s">
        <v>29</v>
      </c>
      <c r="B58">
        <v>2014</v>
      </c>
      <c r="C58" t="s">
        <v>36</v>
      </c>
      <c r="D58">
        <f t="shared" si="2"/>
        <v>7</v>
      </c>
      <c r="E58">
        <v>123.8</v>
      </c>
      <c r="F58">
        <v>126.4</v>
      </c>
      <c r="G58">
        <v>118</v>
      </c>
      <c r="H58">
        <v>121.6</v>
      </c>
      <c r="I58">
        <v>103.5</v>
      </c>
      <c r="J58">
        <v>133.69999999999999</v>
      </c>
      <c r="K58">
        <v>172.4</v>
      </c>
      <c r="L58">
        <v>113.1</v>
      </c>
      <c r="M58">
        <v>102.7</v>
      </c>
      <c r="N58">
        <v>120</v>
      </c>
      <c r="O58">
        <v>113.8</v>
      </c>
      <c r="P58">
        <v>123.4</v>
      </c>
      <c r="Q58">
        <v>127.1</v>
      </c>
      <c r="R58">
        <v>121</v>
      </c>
      <c r="S58">
        <v>118</v>
      </c>
      <c r="T58">
        <v>113.6</v>
      </c>
      <c r="U58">
        <v>117.4</v>
      </c>
      <c r="V58">
        <v>114.8</v>
      </c>
      <c r="W58">
        <v>111.6</v>
      </c>
      <c r="X58">
        <v>114.9</v>
      </c>
      <c r="Y58">
        <v>111.5</v>
      </c>
      <c r="Z58">
        <v>109.7</v>
      </c>
      <c r="AA58">
        <v>117.8</v>
      </c>
      <c r="AB58">
        <v>112.4</v>
      </c>
      <c r="AC58">
        <v>113</v>
      </c>
      <c r="AD58">
        <v>113.5</v>
      </c>
      <c r="AE58">
        <v>118.9</v>
      </c>
    </row>
    <row r="59" spans="1:31" x14ac:dyDescent="0.3">
      <c r="A59" t="s">
        <v>27</v>
      </c>
      <c r="B59">
        <v>2014</v>
      </c>
      <c r="C59" t="s">
        <v>37</v>
      </c>
      <c r="D59">
        <f t="shared" si="2"/>
        <v>8</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s="2">
        <f>'Missing values'!V232</f>
        <v>115.5</v>
      </c>
      <c r="W59">
        <v>115.4</v>
      </c>
      <c r="X59">
        <v>115.9</v>
      </c>
      <c r="Y59">
        <v>114</v>
      </c>
      <c r="Z59">
        <v>109.4</v>
      </c>
      <c r="AA59">
        <v>116.2</v>
      </c>
      <c r="AB59">
        <v>112.2</v>
      </c>
      <c r="AC59">
        <v>113.2</v>
      </c>
      <c r="AD59">
        <v>113.5</v>
      </c>
      <c r="AE59">
        <v>120.7</v>
      </c>
    </row>
    <row r="60" spans="1:31" x14ac:dyDescent="0.3">
      <c r="A60" t="s">
        <v>30</v>
      </c>
      <c r="B60">
        <v>2014</v>
      </c>
      <c r="C60" t="s">
        <v>37</v>
      </c>
      <c r="D60">
        <f t="shared" si="2"/>
        <v>8</v>
      </c>
      <c r="E60">
        <v>122.7</v>
      </c>
      <c r="F60">
        <v>124.4</v>
      </c>
      <c r="G60">
        <v>117.3</v>
      </c>
      <c r="H60">
        <v>122</v>
      </c>
      <c r="I60">
        <v>108</v>
      </c>
      <c r="J60">
        <v>131.1</v>
      </c>
      <c r="K60">
        <v>168.2</v>
      </c>
      <c r="L60">
        <v>114.5</v>
      </c>
      <c r="M60">
        <v>104.3</v>
      </c>
      <c r="N60">
        <v>117.1</v>
      </c>
      <c r="O60">
        <v>115.2</v>
      </c>
      <c r="P60">
        <v>123.1</v>
      </c>
      <c r="Q60">
        <v>126.6</v>
      </c>
      <c r="R60">
        <v>119.9</v>
      </c>
      <c r="S60">
        <v>120</v>
      </c>
      <c r="T60">
        <v>116.8</v>
      </c>
      <c r="U60">
        <v>119.6</v>
      </c>
      <c r="V60">
        <v>115.5</v>
      </c>
      <c r="W60">
        <v>114</v>
      </c>
      <c r="X60">
        <v>115.6</v>
      </c>
      <c r="Y60">
        <v>113.3</v>
      </c>
      <c r="Z60">
        <v>109.9</v>
      </c>
      <c r="AA60">
        <v>118</v>
      </c>
      <c r="AB60">
        <v>112.6</v>
      </c>
      <c r="AC60">
        <v>112.8</v>
      </c>
      <c r="AD60">
        <v>113.7</v>
      </c>
      <c r="AE60">
        <v>120.3</v>
      </c>
    </row>
    <row r="61" spans="1:31" x14ac:dyDescent="0.3">
      <c r="A61" t="s">
        <v>29</v>
      </c>
      <c r="B61">
        <v>2014</v>
      </c>
      <c r="C61" t="s">
        <v>37</v>
      </c>
      <c r="D61">
        <f t="shared" si="2"/>
        <v>8</v>
      </c>
      <c r="E61">
        <v>124.8</v>
      </c>
      <c r="F61">
        <v>127.3</v>
      </c>
      <c r="G61">
        <v>116.5</v>
      </c>
      <c r="H61">
        <v>122.2</v>
      </c>
      <c r="I61">
        <v>103.6</v>
      </c>
      <c r="J61">
        <v>132.69999999999999</v>
      </c>
      <c r="K61">
        <v>181.9</v>
      </c>
      <c r="L61">
        <v>115.2</v>
      </c>
      <c r="M61">
        <v>102.7</v>
      </c>
      <c r="N61">
        <v>122.1</v>
      </c>
      <c r="O61">
        <v>114.4</v>
      </c>
      <c r="P61">
        <v>124.7</v>
      </c>
      <c r="Q61">
        <v>128.9</v>
      </c>
      <c r="R61">
        <v>123</v>
      </c>
      <c r="S61">
        <v>118.6</v>
      </c>
      <c r="T61">
        <v>114.1</v>
      </c>
      <c r="U61">
        <v>117.9</v>
      </c>
      <c r="V61">
        <v>115.5</v>
      </c>
      <c r="W61">
        <v>111.8</v>
      </c>
      <c r="X61">
        <v>115.3</v>
      </c>
      <c r="Y61">
        <v>112.2</v>
      </c>
      <c r="Z61">
        <v>110.5</v>
      </c>
      <c r="AA61">
        <v>119.2</v>
      </c>
      <c r="AB61">
        <v>112.9</v>
      </c>
      <c r="AC61">
        <v>112.5</v>
      </c>
      <c r="AD61">
        <v>113.9</v>
      </c>
      <c r="AE61">
        <v>119.9</v>
      </c>
    </row>
    <row r="62" spans="1:31" x14ac:dyDescent="0.3">
      <c r="A62" t="s">
        <v>27</v>
      </c>
      <c r="B62">
        <v>2014</v>
      </c>
      <c r="C62" t="s">
        <v>38</v>
      </c>
      <c r="D62">
        <f t="shared" si="2"/>
        <v>9</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s="2">
        <f>'Missing values'!V262</f>
        <v>116.1</v>
      </c>
      <c r="W62">
        <v>115.8</v>
      </c>
      <c r="X62">
        <v>116.7</v>
      </c>
      <c r="Y62">
        <v>114.5</v>
      </c>
      <c r="Z62">
        <v>109.1</v>
      </c>
      <c r="AA62">
        <v>116.6</v>
      </c>
      <c r="AB62">
        <v>112.6</v>
      </c>
      <c r="AC62">
        <v>112.8</v>
      </c>
      <c r="AD62">
        <v>113.7</v>
      </c>
      <c r="AE62">
        <v>120.9</v>
      </c>
    </row>
    <row r="63" spans="1:31" x14ac:dyDescent="0.3">
      <c r="A63" t="s">
        <v>30</v>
      </c>
      <c r="B63">
        <v>2014</v>
      </c>
      <c r="C63" t="s">
        <v>38</v>
      </c>
      <c r="D63">
        <f t="shared" si="2"/>
        <v>9</v>
      </c>
      <c r="E63">
        <v>122.9</v>
      </c>
      <c r="F63">
        <v>123.5</v>
      </c>
      <c r="G63">
        <v>117.3</v>
      </c>
      <c r="H63">
        <v>122.7</v>
      </c>
      <c r="I63">
        <v>107.9</v>
      </c>
      <c r="J63">
        <v>127.3</v>
      </c>
      <c r="K63">
        <v>162.1</v>
      </c>
      <c r="L63">
        <v>115.6</v>
      </c>
      <c r="M63">
        <v>103.8</v>
      </c>
      <c r="N63">
        <v>117.6</v>
      </c>
      <c r="O63">
        <v>115.8</v>
      </c>
      <c r="P63">
        <v>123.8</v>
      </c>
      <c r="Q63">
        <v>125.8</v>
      </c>
      <c r="R63">
        <v>120.8</v>
      </c>
      <c r="S63">
        <v>120.7</v>
      </c>
      <c r="T63">
        <v>117.2</v>
      </c>
      <c r="U63">
        <v>120.1</v>
      </c>
      <c r="V63">
        <v>116.1</v>
      </c>
      <c r="W63">
        <v>114.3</v>
      </c>
      <c r="X63">
        <v>116.1</v>
      </c>
      <c r="Y63">
        <v>113.7</v>
      </c>
      <c r="Z63">
        <v>109.5</v>
      </c>
      <c r="AA63">
        <v>118.6</v>
      </c>
      <c r="AB63">
        <v>113.1</v>
      </c>
      <c r="AC63">
        <v>112</v>
      </c>
      <c r="AD63">
        <v>113.7</v>
      </c>
      <c r="AE63">
        <v>120.1</v>
      </c>
    </row>
    <row r="64" spans="1:31" x14ac:dyDescent="0.3">
      <c r="A64" t="s">
        <v>29</v>
      </c>
      <c r="B64">
        <v>2014</v>
      </c>
      <c r="C64" t="s">
        <v>38</v>
      </c>
      <c r="D64">
        <f t="shared" si="2"/>
        <v>9</v>
      </c>
      <c r="E64">
        <v>124.2</v>
      </c>
      <c r="F64">
        <v>125.4</v>
      </c>
      <c r="G64">
        <v>116.4</v>
      </c>
      <c r="H64">
        <v>122.7</v>
      </c>
      <c r="I64">
        <v>103.5</v>
      </c>
      <c r="J64">
        <v>124.5</v>
      </c>
      <c r="K64">
        <v>168.6</v>
      </c>
      <c r="L64">
        <v>116.9</v>
      </c>
      <c r="M64">
        <v>101.9</v>
      </c>
      <c r="N64">
        <v>122.9</v>
      </c>
      <c r="O64">
        <v>114.8</v>
      </c>
      <c r="P64">
        <v>125.2</v>
      </c>
      <c r="Q64">
        <v>126.7</v>
      </c>
      <c r="R64">
        <v>124.3</v>
      </c>
      <c r="S64">
        <v>119.2</v>
      </c>
      <c r="T64">
        <v>114.5</v>
      </c>
      <c r="U64">
        <v>118.4</v>
      </c>
      <c r="V64">
        <v>116.1</v>
      </c>
      <c r="W64">
        <v>111.8</v>
      </c>
      <c r="X64">
        <v>115.5</v>
      </c>
      <c r="Y64">
        <v>112.3</v>
      </c>
      <c r="Z64">
        <v>110</v>
      </c>
      <c r="AA64">
        <v>120</v>
      </c>
      <c r="AB64">
        <v>113.4</v>
      </c>
      <c r="AC64">
        <v>111.2</v>
      </c>
      <c r="AD64">
        <v>113.6</v>
      </c>
      <c r="AE64">
        <v>119.2</v>
      </c>
    </row>
    <row r="65" spans="1:31" x14ac:dyDescent="0.3">
      <c r="A65" t="s">
        <v>27</v>
      </c>
      <c r="B65">
        <v>2014</v>
      </c>
      <c r="C65" t="s">
        <v>39</v>
      </c>
      <c r="D65">
        <f t="shared" si="2"/>
        <v>10</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s="2">
        <f>'Missing values'!V292</f>
        <v>116.7</v>
      </c>
      <c r="W65">
        <v>116.4</v>
      </c>
      <c r="X65">
        <v>117.5</v>
      </c>
      <c r="Y65">
        <v>115.3</v>
      </c>
      <c r="Z65">
        <v>109.3</v>
      </c>
      <c r="AA65">
        <v>116.9</v>
      </c>
      <c r="AB65">
        <v>113</v>
      </c>
      <c r="AC65">
        <v>112.6</v>
      </c>
      <c r="AD65">
        <v>114</v>
      </c>
      <c r="AE65">
        <v>121</v>
      </c>
    </row>
    <row r="66" spans="1:31" x14ac:dyDescent="0.3">
      <c r="A66" t="s">
        <v>30</v>
      </c>
      <c r="B66">
        <v>2014</v>
      </c>
      <c r="C66" t="s">
        <v>39</v>
      </c>
      <c r="D66">
        <f t="shared" si="2"/>
        <v>10</v>
      </c>
      <c r="E66">
        <v>123.2</v>
      </c>
      <c r="F66">
        <v>123.8</v>
      </c>
      <c r="G66">
        <v>118.1</v>
      </c>
      <c r="H66">
        <v>123.2</v>
      </c>
      <c r="I66">
        <v>107.9</v>
      </c>
      <c r="J66">
        <v>126.4</v>
      </c>
      <c r="K66">
        <v>156.80000000000001</v>
      </c>
      <c r="L66">
        <v>116.1</v>
      </c>
      <c r="M66">
        <v>103.1</v>
      </c>
      <c r="N66">
        <v>118.1</v>
      </c>
      <c r="O66">
        <v>116.1</v>
      </c>
      <c r="P66">
        <v>124.5</v>
      </c>
      <c r="Q66">
        <v>125.4</v>
      </c>
      <c r="R66">
        <v>121.1</v>
      </c>
      <c r="S66">
        <v>121.5</v>
      </c>
      <c r="T66">
        <v>118.1</v>
      </c>
      <c r="U66">
        <v>121</v>
      </c>
      <c r="V66">
        <v>116.7</v>
      </c>
      <c r="W66">
        <v>114.7</v>
      </c>
      <c r="X66">
        <v>116.7</v>
      </c>
      <c r="Y66">
        <v>114.3</v>
      </c>
      <c r="Z66">
        <v>109.6</v>
      </c>
      <c r="AA66">
        <v>118.8</v>
      </c>
      <c r="AB66">
        <v>113.3</v>
      </c>
      <c r="AC66">
        <v>111.8</v>
      </c>
      <c r="AD66">
        <v>113.9</v>
      </c>
      <c r="AE66">
        <v>120.1</v>
      </c>
    </row>
    <row r="67" spans="1:31" x14ac:dyDescent="0.3">
      <c r="A67" t="s">
        <v>29</v>
      </c>
      <c r="B67">
        <v>2014</v>
      </c>
      <c r="C67" t="s">
        <v>39</v>
      </c>
      <c r="D67">
        <f t="shared" si="2"/>
        <v>10</v>
      </c>
      <c r="E67">
        <v>124.6</v>
      </c>
      <c r="F67">
        <v>126.1</v>
      </c>
      <c r="G67">
        <v>117.8</v>
      </c>
      <c r="H67">
        <v>123.1</v>
      </c>
      <c r="I67">
        <v>103.5</v>
      </c>
      <c r="J67">
        <v>123.5</v>
      </c>
      <c r="K67">
        <v>159.6</v>
      </c>
      <c r="L67">
        <v>117.4</v>
      </c>
      <c r="M67">
        <v>101.2</v>
      </c>
      <c r="N67">
        <v>123.8</v>
      </c>
      <c r="O67">
        <v>115.2</v>
      </c>
      <c r="P67">
        <v>125.9</v>
      </c>
      <c r="Q67">
        <v>125.8</v>
      </c>
      <c r="R67">
        <v>124.3</v>
      </c>
      <c r="S67">
        <v>119.6</v>
      </c>
      <c r="T67">
        <v>114.9</v>
      </c>
      <c r="U67">
        <v>118.9</v>
      </c>
      <c r="V67">
        <v>116.7</v>
      </c>
      <c r="W67">
        <v>112</v>
      </c>
      <c r="X67">
        <v>115.8</v>
      </c>
      <c r="Y67">
        <v>112.6</v>
      </c>
      <c r="Z67">
        <v>110.1</v>
      </c>
      <c r="AA67">
        <v>120.2</v>
      </c>
      <c r="AB67">
        <v>113.6</v>
      </c>
      <c r="AC67">
        <v>111</v>
      </c>
      <c r="AD67">
        <v>113.7</v>
      </c>
      <c r="AE67">
        <v>119.1</v>
      </c>
    </row>
    <row r="68" spans="1:31" x14ac:dyDescent="0.3">
      <c r="A68" t="s">
        <v>27</v>
      </c>
      <c r="B68">
        <v>2014</v>
      </c>
      <c r="C68" t="s">
        <v>41</v>
      </c>
      <c r="D68">
        <f t="shared" si="2"/>
        <v>11</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s="2">
        <f>'Missing values'!V322</f>
        <v>117.1</v>
      </c>
      <c r="W68">
        <v>117.3</v>
      </c>
      <c r="X68">
        <v>118.1</v>
      </c>
      <c r="Y68">
        <v>115.9</v>
      </c>
      <c r="Z68">
        <v>108.8</v>
      </c>
      <c r="AA68">
        <v>117.2</v>
      </c>
      <c r="AB68">
        <v>113.3</v>
      </c>
      <c r="AC68">
        <v>112</v>
      </c>
      <c r="AD68">
        <v>114.1</v>
      </c>
      <c r="AE68">
        <v>121.1</v>
      </c>
    </row>
    <row r="69" spans="1:31" x14ac:dyDescent="0.3">
      <c r="A69" t="s">
        <v>30</v>
      </c>
      <c r="B69">
        <v>2014</v>
      </c>
      <c r="C69" t="s">
        <v>41</v>
      </c>
      <c r="D69">
        <f t="shared" si="2"/>
        <v>11</v>
      </c>
      <c r="E69">
        <v>123.3</v>
      </c>
      <c r="F69">
        <v>123.7</v>
      </c>
      <c r="G69">
        <v>121</v>
      </c>
      <c r="H69">
        <v>124.2</v>
      </c>
      <c r="I69">
        <v>107.8</v>
      </c>
      <c r="J69">
        <v>125.7</v>
      </c>
      <c r="K69">
        <v>152.4</v>
      </c>
      <c r="L69">
        <v>117.2</v>
      </c>
      <c r="M69">
        <v>102.1</v>
      </c>
      <c r="N69">
        <v>118.7</v>
      </c>
      <c r="O69">
        <v>116.4</v>
      </c>
      <c r="P69">
        <v>125.6</v>
      </c>
      <c r="Q69">
        <v>125.1</v>
      </c>
      <c r="R69">
        <v>122.1</v>
      </c>
      <c r="S69">
        <v>122.1</v>
      </c>
      <c r="T69">
        <v>118.4</v>
      </c>
      <c r="U69">
        <v>121.6</v>
      </c>
      <c r="V69">
        <v>117.1</v>
      </c>
      <c r="W69">
        <v>115.5</v>
      </c>
      <c r="X69">
        <v>117.3</v>
      </c>
      <c r="Y69">
        <v>114.8</v>
      </c>
      <c r="Z69">
        <v>109.1</v>
      </c>
      <c r="AA69">
        <v>119</v>
      </c>
      <c r="AB69">
        <v>113.7</v>
      </c>
      <c r="AC69">
        <v>110.8</v>
      </c>
      <c r="AD69">
        <v>113.8</v>
      </c>
      <c r="AE69">
        <v>120.1</v>
      </c>
    </row>
    <row r="70" spans="1:31" x14ac:dyDescent="0.3">
      <c r="A70" t="s">
        <v>29</v>
      </c>
      <c r="B70">
        <v>2014</v>
      </c>
      <c r="C70" t="s">
        <v>41</v>
      </c>
      <c r="D70">
        <f t="shared" si="2"/>
        <v>11</v>
      </c>
      <c r="E70">
        <v>124.5</v>
      </c>
      <c r="F70">
        <v>125.6</v>
      </c>
      <c r="G70">
        <v>122.7</v>
      </c>
      <c r="H70">
        <v>124.6</v>
      </c>
      <c r="I70">
        <v>103.2</v>
      </c>
      <c r="J70">
        <v>122.2</v>
      </c>
      <c r="K70">
        <v>153.19999999999999</v>
      </c>
      <c r="L70">
        <v>119.3</v>
      </c>
      <c r="M70">
        <v>99.8</v>
      </c>
      <c r="N70">
        <v>124.6</v>
      </c>
      <c r="O70">
        <v>115.8</v>
      </c>
      <c r="P70">
        <v>126.9</v>
      </c>
      <c r="Q70">
        <v>125.4</v>
      </c>
      <c r="R70">
        <v>125.8</v>
      </c>
      <c r="S70">
        <v>120.3</v>
      </c>
      <c r="T70">
        <v>115.4</v>
      </c>
      <c r="U70">
        <v>119.5</v>
      </c>
      <c r="V70">
        <v>117.1</v>
      </c>
      <c r="W70">
        <v>112.6</v>
      </c>
      <c r="X70">
        <v>116.4</v>
      </c>
      <c r="Y70">
        <v>113</v>
      </c>
      <c r="Z70">
        <v>109.6</v>
      </c>
      <c r="AA70">
        <v>120.3</v>
      </c>
      <c r="AB70">
        <v>114</v>
      </c>
      <c r="AC70">
        <v>109.7</v>
      </c>
      <c r="AD70">
        <v>113.4</v>
      </c>
      <c r="AE70">
        <v>119</v>
      </c>
    </row>
    <row r="71" spans="1:31" x14ac:dyDescent="0.3">
      <c r="A71" t="s">
        <v>27</v>
      </c>
      <c r="B71">
        <v>2014</v>
      </c>
      <c r="C71" t="s">
        <v>42</v>
      </c>
      <c r="D71">
        <f t="shared" si="2"/>
        <v>12</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s="2">
        <f>'Missing values'!V352</f>
        <v>116.5</v>
      </c>
      <c r="W71">
        <v>117.4</v>
      </c>
      <c r="X71">
        <v>118.2</v>
      </c>
      <c r="Y71">
        <v>116.2</v>
      </c>
      <c r="Z71">
        <v>109.4</v>
      </c>
      <c r="AA71">
        <v>117.7</v>
      </c>
      <c r="AB71">
        <v>113.3</v>
      </c>
      <c r="AC71">
        <v>111.5</v>
      </c>
      <c r="AD71">
        <v>114.2</v>
      </c>
      <c r="AE71">
        <v>120.3</v>
      </c>
    </row>
    <row r="72" spans="1:31" x14ac:dyDescent="0.3">
      <c r="A72" t="s">
        <v>30</v>
      </c>
      <c r="B72">
        <v>2014</v>
      </c>
      <c r="C72" t="s">
        <v>42</v>
      </c>
      <c r="D72">
        <f t="shared" si="2"/>
        <v>12</v>
      </c>
      <c r="E72">
        <v>122.9</v>
      </c>
      <c r="F72">
        <v>123.2</v>
      </c>
      <c r="G72">
        <v>123.5</v>
      </c>
      <c r="H72">
        <v>124.5</v>
      </c>
      <c r="I72">
        <v>107.6</v>
      </c>
      <c r="J72">
        <v>125.7</v>
      </c>
      <c r="K72">
        <v>140.5</v>
      </c>
      <c r="L72">
        <v>117.6</v>
      </c>
      <c r="M72">
        <v>100.6</v>
      </c>
      <c r="N72">
        <v>119.1</v>
      </c>
      <c r="O72">
        <v>116.8</v>
      </c>
      <c r="P72">
        <v>126.1</v>
      </c>
      <c r="Q72">
        <v>123.6</v>
      </c>
      <c r="R72">
        <v>123</v>
      </c>
      <c r="S72">
        <v>122.6</v>
      </c>
      <c r="T72">
        <v>118.6</v>
      </c>
      <c r="U72">
        <v>122</v>
      </c>
      <c r="V72">
        <v>116.5</v>
      </c>
      <c r="W72">
        <v>115.7</v>
      </c>
      <c r="X72">
        <v>117.5</v>
      </c>
      <c r="Y72">
        <v>115.1</v>
      </c>
      <c r="Z72">
        <v>109.8</v>
      </c>
      <c r="AA72">
        <v>119.5</v>
      </c>
      <c r="AB72">
        <v>113.9</v>
      </c>
      <c r="AC72">
        <v>110.1</v>
      </c>
      <c r="AD72">
        <v>113.8</v>
      </c>
      <c r="AE72">
        <v>119.4</v>
      </c>
    </row>
    <row r="73" spans="1:31" x14ac:dyDescent="0.3">
      <c r="A73" t="s">
        <v>29</v>
      </c>
      <c r="B73">
        <v>2014</v>
      </c>
      <c r="C73" t="s">
        <v>42</v>
      </c>
      <c r="D73">
        <f t="shared" si="2"/>
        <v>12</v>
      </c>
      <c r="E73">
        <v>124</v>
      </c>
      <c r="F73">
        <v>124.7</v>
      </c>
      <c r="G73">
        <v>126.3</v>
      </c>
      <c r="H73">
        <v>124.9</v>
      </c>
      <c r="I73">
        <v>103</v>
      </c>
      <c r="J73">
        <v>122.3</v>
      </c>
      <c r="K73">
        <v>141</v>
      </c>
      <c r="L73">
        <v>120.1</v>
      </c>
      <c r="M73">
        <v>97.8</v>
      </c>
      <c r="N73">
        <v>125.4</v>
      </c>
      <c r="O73">
        <v>116.1</v>
      </c>
      <c r="P73">
        <v>127.6</v>
      </c>
      <c r="Q73">
        <v>124</v>
      </c>
      <c r="R73">
        <v>126.4</v>
      </c>
      <c r="S73">
        <v>120.7</v>
      </c>
      <c r="T73">
        <v>115.8</v>
      </c>
      <c r="U73">
        <v>120</v>
      </c>
      <c r="V73">
        <v>116.5</v>
      </c>
      <c r="W73">
        <v>113</v>
      </c>
      <c r="X73">
        <v>116.8</v>
      </c>
      <c r="Y73">
        <v>113.2</v>
      </c>
      <c r="Z73">
        <v>110.4</v>
      </c>
      <c r="AA73">
        <v>120.7</v>
      </c>
      <c r="AB73">
        <v>114.3</v>
      </c>
      <c r="AC73">
        <v>108.8</v>
      </c>
      <c r="AD73">
        <v>113.4</v>
      </c>
      <c r="AE73">
        <v>118.4</v>
      </c>
    </row>
    <row r="74" spans="1:31" x14ac:dyDescent="0.3">
      <c r="A74" t="s">
        <v>27</v>
      </c>
      <c r="B74">
        <v>2015</v>
      </c>
      <c r="C74" t="s">
        <v>28</v>
      </c>
      <c r="D74">
        <f t="shared" si="2"/>
        <v>1</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s="2">
        <f>'Missing values'!V13</f>
        <v>117.3</v>
      </c>
      <c r="W74">
        <v>118.4</v>
      </c>
      <c r="X74">
        <v>118.9</v>
      </c>
      <c r="Y74">
        <v>116.6</v>
      </c>
      <c r="Z74">
        <v>110.2</v>
      </c>
      <c r="AA74">
        <v>118.2</v>
      </c>
      <c r="AB74">
        <v>114</v>
      </c>
      <c r="AC74">
        <v>111</v>
      </c>
      <c r="AD74">
        <v>114.5</v>
      </c>
      <c r="AE74">
        <v>120.3</v>
      </c>
    </row>
    <row r="75" spans="1:31" x14ac:dyDescent="0.3">
      <c r="A75" t="s">
        <v>30</v>
      </c>
      <c r="B75">
        <v>2015</v>
      </c>
      <c r="C75" t="s">
        <v>28</v>
      </c>
      <c r="D75">
        <f t="shared" si="2"/>
        <v>1</v>
      </c>
      <c r="E75">
        <v>123.4</v>
      </c>
      <c r="F75">
        <v>123.9</v>
      </c>
      <c r="G75">
        <v>123.8</v>
      </c>
      <c r="H75">
        <v>125</v>
      </c>
      <c r="I75">
        <v>108.5</v>
      </c>
      <c r="J75">
        <v>126.2</v>
      </c>
      <c r="K75">
        <v>133</v>
      </c>
      <c r="L75">
        <v>119.1</v>
      </c>
      <c r="M75">
        <v>99</v>
      </c>
      <c r="N75">
        <v>120.3</v>
      </c>
      <c r="O75">
        <v>117.3</v>
      </c>
      <c r="P75">
        <v>126.7</v>
      </c>
      <c r="Q75">
        <v>123.1</v>
      </c>
      <c r="R75">
        <v>124</v>
      </c>
      <c r="S75">
        <v>123.1</v>
      </c>
      <c r="T75">
        <v>119.3</v>
      </c>
      <c r="U75">
        <v>122.5</v>
      </c>
      <c r="V75">
        <v>117.3</v>
      </c>
      <c r="W75">
        <v>116.5</v>
      </c>
      <c r="X75">
        <v>118.1</v>
      </c>
      <c r="Y75">
        <v>115.5</v>
      </c>
      <c r="Z75">
        <v>110.7</v>
      </c>
      <c r="AA75">
        <v>119.7</v>
      </c>
      <c r="AB75">
        <v>114.3</v>
      </c>
      <c r="AC75">
        <v>109.4</v>
      </c>
      <c r="AD75">
        <v>114</v>
      </c>
      <c r="AE75">
        <v>119.5</v>
      </c>
    </row>
    <row r="76" spans="1:31" x14ac:dyDescent="0.3">
      <c r="A76" t="s">
        <v>29</v>
      </c>
      <c r="B76">
        <v>2015</v>
      </c>
      <c r="C76" t="s">
        <v>28</v>
      </c>
      <c r="D76">
        <f t="shared" si="2"/>
        <v>1</v>
      </c>
      <c r="E76">
        <v>124</v>
      </c>
      <c r="F76">
        <v>125.5</v>
      </c>
      <c r="G76">
        <v>126.6</v>
      </c>
      <c r="H76">
        <v>125.2</v>
      </c>
      <c r="I76">
        <v>104.3</v>
      </c>
      <c r="J76">
        <v>121.3</v>
      </c>
      <c r="K76">
        <v>134.4</v>
      </c>
      <c r="L76">
        <v>122.9</v>
      </c>
      <c r="M76">
        <v>96.1</v>
      </c>
      <c r="N76">
        <v>126.6</v>
      </c>
      <c r="O76">
        <v>116.5</v>
      </c>
      <c r="P76">
        <v>128</v>
      </c>
      <c r="Q76">
        <v>123.5</v>
      </c>
      <c r="R76">
        <v>127.4</v>
      </c>
      <c r="S76">
        <v>121</v>
      </c>
      <c r="T76">
        <v>116.1</v>
      </c>
      <c r="U76">
        <v>120.2</v>
      </c>
      <c r="V76">
        <v>117.3</v>
      </c>
      <c r="W76">
        <v>113.4</v>
      </c>
      <c r="X76">
        <v>117.2</v>
      </c>
      <c r="Y76">
        <v>113.7</v>
      </c>
      <c r="Z76">
        <v>111.4</v>
      </c>
      <c r="AA76">
        <v>120.8</v>
      </c>
      <c r="AB76">
        <v>114.6</v>
      </c>
      <c r="AC76">
        <v>107.9</v>
      </c>
      <c r="AD76">
        <v>113.4</v>
      </c>
      <c r="AE76">
        <v>118.5</v>
      </c>
    </row>
    <row r="77" spans="1:31" x14ac:dyDescent="0.3">
      <c r="A77" t="s">
        <v>27</v>
      </c>
      <c r="B77">
        <v>2015</v>
      </c>
      <c r="C77" t="s">
        <v>31</v>
      </c>
      <c r="D77">
        <f t="shared" si="2"/>
        <v>2</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s="2">
        <f>'Missing values'!V46</f>
        <v>118.1</v>
      </c>
      <c r="W77">
        <v>120</v>
      </c>
      <c r="X77">
        <v>119.6</v>
      </c>
      <c r="Y77">
        <v>117.7</v>
      </c>
      <c r="Z77">
        <v>110.8</v>
      </c>
      <c r="AA77">
        <v>118.7</v>
      </c>
      <c r="AB77">
        <v>114.8</v>
      </c>
      <c r="AC77">
        <v>110.9</v>
      </c>
      <c r="AD77">
        <v>115</v>
      </c>
      <c r="AE77">
        <v>120.6</v>
      </c>
    </row>
    <row r="78" spans="1:31" x14ac:dyDescent="0.3">
      <c r="A78" t="s">
        <v>30</v>
      </c>
      <c r="B78">
        <v>2015</v>
      </c>
      <c r="C78" t="s">
        <v>31</v>
      </c>
      <c r="D78">
        <f t="shared" si="2"/>
        <v>2</v>
      </c>
      <c r="E78">
        <v>123.7</v>
      </c>
      <c r="F78">
        <v>125.1</v>
      </c>
      <c r="G78">
        <v>121.1</v>
      </c>
      <c r="H78">
        <v>125.7</v>
      </c>
      <c r="I78">
        <v>109.1</v>
      </c>
      <c r="J78">
        <v>125.8</v>
      </c>
      <c r="K78">
        <v>129.4</v>
      </c>
      <c r="L78">
        <v>120.9</v>
      </c>
      <c r="M78">
        <v>98.3</v>
      </c>
      <c r="N78">
        <v>121.6</v>
      </c>
      <c r="O78">
        <v>118</v>
      </c>
      <c r="P78">
        <v>127.6</v>
      </c>
      <c r="Q78">
        <v>123.1</v>
      </c>
      <c r="R78">
        <v>125.2</v>
      </c>
      <c r="S78">
        <v>123.8</v>
      </c>
      <c r="T78">
        <v>120.1</v>
      </c>
      <c r="U78">
        <v>123.3</v>
      </c>
      <c r="V78">
        <v>118.1</v>
      </c>
      <c r="W78">
        <v>117.7</v>
      </c>
      <c r="X78">
        <v>118.7</v>
      </c>
      <c r="Y78">
        <v>116.3</v>
      </c>
      <c r="Z78">
        <v>111.2</v>
      </c>
      <c r="AA78">
        <v>119.7</v>
      </c>
      <c r="AB78">
        <v>114.9</v>
      </c>
      <c r="AC78">
        <v>108.7</v>
      </c>
      <c r="AD78">
        <v>114.1</v>
      </c>
      <c r="AE78">
        <v>119.7</v>
      </c>
    </row>
    <row r="79" spans="1:31" x14ac:dyDescent="0.3">
      <c r="A79" t="s">
        <v>29</v>
      </c>
      <c r="B79">
        <v>2015</v>
      </c>
      <c r="C79" t="s">
        <v>31</v>
      </c>
      <c r="D79">
        <f t="shared" si="2"/>
        <v>2</v>
      </c>
      <c r="E79">
        <v>124.3</v>
      </c>
      <c r="F79">
        <v>126.5</v>
      </c>
      <c r="G79">
        <v>119.5</v>
      </c>
      <c r="H79">
        <v>125.6</v>
      </c>
      <c r="I79">
        <v>104.9</v>
      </c>
      <c r="J79">
        <v>121.6</v>
      </c>
      <c r="K79">
        <v>131.80000000000001</v>
      </c>
      <c r="L79">
        <v>125.1</v>
      </c>
      <c r="M79">
        <v>95</v>
      </c>
      <c r="N79">
        <v>127.7</v>
      </c>
      <c r="O79">
        <v>116.8</v>
      </c>
      <c r="P79">
        <v>128.6</v>
      </c>
      <c r="Q79">
        <v>123.7</v>
      </c>
      <c r="R79">
        <v>128.1</v>
      </c>
      <c r="S79">
        <v>121.3</v>
      </c>
      <c r="T79">
        <v>116.5</v>
      </c>
      <c r="U79">
        <v>120.6</v>
      </c>
      <c r="V79">
        <v>118.1</v>
      </c>
      <c r="W79">
        <v>114</v>
      </c>
      <c r="X79">
        <v>117.7</v>
      </c>
      <c r="Y79">
        <v>114.1</v>
      </c>
      <c r="Z79">
        <v>111.7</v>
      </c>
      <c r="AA79">
        <v>120.4</v>
      </c>
      <c r="AB79">
        <v>114.9</v>
      </c>
      <c r="AC79">
        <v>106.8</v>
      </c>
      <c r="AD79">
        <v>113.2</v>
      </c>
      <c r="AE79">
        <v>118.7</v>
      </c>
    </row>
    <row r="80" spans="1:31" x14ac:dyDescent="0.3">
      <c r="A80" t="s">
        <v>27</v>
      </c>
      <c r="B80">
        <v>2015</v>
      </c>
      <c r="C80" t="s">
        <v>32</v>
      </c>
      <c r="D80">
        <f t="shared" si="2"/>
        <v>3</v>
      </c>
      <c r="E80">
        <v>123.3</v>
      </c>
      <c r="F80">
        <v>124.7</v>
      </c>
      <c r="G80">
        <v>118.9</v>
      </c>
      <c r="H80">
        <v>126</v>
      </c>
      <c r="I80">
        <v>111.8</v>
      </c>
      <c r="J80">
        <v>130.9</v>
      </c>
      <c r="K80">
        <v>128</v>
      </c>
      <c r="L80">
        <v>119.9</v>
      </c>
      <c r="M80">
        <v>98.9</v>
      </c>
      <c r="N80">
        <v>119.4</v>
      </c>
      <c r="O80">
        <v>118.9</v>
      </c>
      <c r="P80">
        <v>127.7</v>
      </c>
      <c r="Q80">
        <v>123.1</v>
      </c>
      <c r="R80">
        <v>124.7</v>
      </c>
      <c r="S80">
        <v>126</v>
      </c>
      <c r="T80">
        <v>122.9</v>
      </c>
      <c r="U80">
        <v>125.5</v>
      </c>
      <c r="V80" s="2">
        <f>'Missing values'!V79</f>
        <v>118.6</v>
      </c>
      <c r="W80">
        <v>120.6</v>
      </c>
      <c r="X80">
        <v>120.2</v>
      </c>
      <c r="Y80">
        <v>118.2</v>
      </c>
      <c r="Z80">
        <v>110.8</v>
      </c>
      <c r="AA80">
        <v>119.4</v>
      </c>
      <c r="AB80">
        <v>115.5</v>
      </c>
      <c r="AC80">
        <v>111.6</v>
      </c>
      <c r="AD80">
        <v>115.5</v>
      </c>
      <c r="AE80">
        <v>121.1</v>
      </c>
    </row>
    <row r="81" spans="1:31" x14ac:dyDescent="0.3">
      <c r="A81" t="s">
        <v>30</v>
      </c>
      <c r="B81">
        <v>2015</v>
      </c>
      <c r="C81" t="s">
        <v>32</v>
      </c>
      <c r="D81">
        <f t="shared" si="2"/>
        <v>3</v>
      </c>
      <c r="E81">
        <v>123.5</v>
      </c>
      <c r="F81">
        <v>125.4</v>
      </c>
      <c r="G81">
        <v>116.8</v>
      </c>
      <c r="H81">
        <v>126</v>
      </c>
      <c r="I81">
        <v>109.2</v>
      </c>
      <c r="J81">
        <v>127.6</v>
      </c>
      <c r="K81">
        <v>129.19999999999999</v>
      </c>
      <c r="L81">
        <v>122.4</v>
      </c>
      <c r="M81">
        <v>97</v>
      </c>
      <c r="N81">
        <v>122.1</v>
      </c>
      <c r="O81">
        <v>118.1</v>
      </c>
      <c r="P81">
        <v>128.4</v>
      </c>
      <c r="Q81">
        <v>123.4</v>
      </c>
      <c r="R81">
        <v>125.8</v>
      </c>
      <c r="S81">
        <v>124.3</v>
      </c>
      <c r="T81">
        <v>120.4</v>
      </c>
      <c r="U81">
        <v>123.7</v>
      </c>
      <c r="V81">
        <v>118.6</v>
      </c>
      <c r="W81">
        <v>118.3</v>
      </c>
      <c r="X81">
        <v>119.2</v>
      </c>
      <c r="Y81">
        <v>116.7</v>
      </c>
      <c r="Z81">
        <v>111</v>
      </c>
      <c r="AA81">
        <v>120.1</v>
      </c>
      <c r="AB81">
        <v>115.4</v>
      </c>
      <c r="AC81">
        <v>109.9</v>
      </c>
      <c r="AD81">
        <v>114.7</v>
      </c>
      <c r="AE81">
        <v>120.2</v>
      </c>
    </row>
    <row r="82" spans="1:31" x14ac:dyDescent="0.3">
      <c r="A82" t="s">
        <v>29</v>
      </c>
      <c r="B82">
        <v>2015</v>
      </c>
      <c r="C82" t="s">
        <v>32</v>
      </c>
      <c r="D82">
        <f t="shared" si="2"/>
        <v>3</v>
      </c>
      <c r="E82">
        <v>124</v>
      </c>
      <c r="F82">
        <v>126.7</v>
      </c>
      <c r="G82">
        <v>113.5</v>
      </c>
      <c r="H82">
        <v>125.9</v>
      </c>
      <c r="I82">
        <v>104.8</v>
      </c>
      <c r="J82">
        <v>123.8</v>
      </c>
      <c r="K82">
        <v>131.4</v>
      </c>
      <c r="L82">
        <v>127.2</v>
      </c>
      <c r="M82">
        <v>93.2</v>
      </c>
      <c r="N82">
        <v>127.4</v>
      </c>
      <c r="O82">
        <v>117</v>
      </c>
      <c r="P82">
        <v>129.19999999999999</v>
      </c>
      <c r="Q82">
        <v>123.9</v>
      </c>
      <c r="R82">
        <v>128.80000000000001</v>
      </c>
      <c r="S82">
        <v>121.7</v>
      </c>
      <c r="T82">
        <v>116.9</v>
      </c>
      <c r="U82">
        <v>120.9</v>
      </c>
      <c r="V82">
        <v>118.6</v>
      </c>
      <c r="W82">
        <v>114.4</v>
      </c>
      <c r="X82">
        <v>118</v>
      </c>
      <c r="Y82">
        <v>114.3</v>
      </c>
      <c r="Z82">
        <v>111.3</v>
      </c>
      <c r="AA82">
        <v>120.6</v>
      </c>
      <c r="AB82">
        <v>115.4</v>
      </c>
      <c r="AC82">
        <v>108.4</v>
      </c>
      <c r="AD82">
        <v>113.8</v>
      </c>
      <c r="AE82">
        <v>119.1</v>
      </c>
    </row>
    <row r="83" spans="1:31" x14ac:dyDescent="0.3">
      <c r="A83" t="s">
        <v>27</v>
      </c>
      <c r="B83">
        <v>2015</v>
      </c>
      <c r="C83" t="s">
        <v>33</v>
      </c>
      <c r="D83">
        <f t="shared" si="2"/>
        <v>4</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s="2">
        <f>'Missing values'!V112</f>
        <v>119.2</v>
      </c>
      <c r="W83">
        <v>121.2</v>
      </c>
      <c r="X83">
        <v>120.9</v>
      </c>
      <c r="Y83">
        <v>118.6</v>
      </c>
      <c r="Z83">
        <v>111.6</v>
      </c>
      <c r="AA83">
        <v>119.9</v>
      </c>
      <c r="AB83">
        <v>116.2</v>
      </c>
      <c r="AC83">
        <v>111.9</v>
      </c>
      <c r="AD83">
        <v>116</v>
      </c>
      <c r="AE83">
        <v>121.5</v>
      </c>
    </row>
    <row r="84" spans="1:31" x14ac:dyDescent="0.3">
      <c r="A84" t="s">
        <v>30</v>
      </c>
      <c r="B84">
        <v>2015</v>
      </c>
      <c r="C84" t="s">
        <v>33</v>
      </c>
      <c r="D84">
        <f t="shared" si="2"/>
        <v>4</v>
      </c>
      <c r="E84">
        <v>123.5</v>
      </c>
      <c r="F84">
        <v>126.4</v>
      </c>
      <c r="G84">
        <v>114.4</v>
      </c>
      <c r="H84">
        <v>126.6</v>
      </c>
      <c r="I84">
        <v>109.2</v>
      </c>
      <c r="J84">
        <v>132.5</v>
      </c>
      <c r="K84">
        <v>128.6</v>
      </c>
      <c r="L84">
        <v>124.8</v>
      </c>
      <c r="M84">
        <v>95.7</v>
      </c>
      <c r="N84">
        <v>122.4</v>
      </c>
      <c r="O84">
        <v>118.5</v>
      </c>
      <c r="P84">
        <v>129.1</v>
      </c>
      <c r="Q84">
        <v>124</v>
      </c>
      <c r="R84">
        <v>126.9</v>
      </c>
      <c r="S84">
        <v>124.7</v>
      </c>
      <c r="T84">
        <v>120.8</v>
      </c>
      <c r="U84">
        <v>124.1</v>
      </c>
      <c r="V84">
        <v>119.2</v>
      </c>
      <c r="W84">
        <v>118.7</v>
      </c>
      <c r="X84">
        <v>119.7</v>
      </c>
      <c r="Y84">
        <v>117.1</v>
      </c>
      <c r="Z84">
        <v>111.7</v>
      </c>
      <c r="AA84">
        <v>121</v>
      </c>
      <c r="AB84">
        <v>115.9</v>
      </c>
      <c r="AC84">
        <v>110.1</v>
      </c>
      <c r="AD84">
        <v>115.1</v>
      </c>
      <c r="AE84">
        <v>120.7</v>
      </c>
    </row>
    <row r="85" spans="1:31" x14ac:dyDescent="0.3">
      <c r="A85" t="s">
        <v>29</v>
      </c>
      <c r="B85">
        <v>2015</v>
      </c>
      <c r="C85" t="s">
        <v>33</v>
      </c>
      <c r="D85">
        <f t="shared" si="2"/>
        <v>4</v>
      </c>
      <c r="E85">
        <v>123.8</v>
      </c>
      <c r="F85">
        <v>128.19999999999999</v>
      </c>
      <c r="G85">
        <v>110</v>
      </c>
      <c r="H85">
        <v>126.3</v>
      </c>
      <c r="I85">
        <v>104.5</v>
      </c>
      <c r="J85">
        <v>130.6</v>
      </c>
      <c r="K85">
        <v>130.80000000000001</v>
      </c>
      <c r="L85">
        <v>131.30000000000001</v>
      </c>
      <c r="M85">
        <v>91.6</v>
      </c>
      <c r="N85">
        <v>127.7</v>
      </c>
      <c r="O85">
        <v>117.2</v>
      </c>
      <c r="P85">
        <v>129.5</v>
      </c>
      <c r="Q85">
        <v>124.6</v>
      </c>
      <c r="R85">
        <v>130.1</v>
      </c>
      <c r="S85">
        <v>122.1</v>
      </c>
      <c r="T85">
        <v>117.2</v>
      </c>
      <c r="U85">
        <v>121.3</v>
      </c>
      <c r="V85">
        <v>119.2</v>
      </c>
      <c r="W85">
        <v>114.7</v>
      </c>
      <c r="X85">
        <v>118.4</v>
      </c>
      <c r="Y85">
        <v>114.6</v>
      </c>
      <c r="Z85">
        <v>111.8</v>
      </c>
      <c r="AA85">
        <v>121.7</v>
      </c>
      <c r="AB85">
        <v>115.6</v>
      </c>
      <c r="AC85">
        <v>108.4</v>
      </c>
      <c r="AD85">
        <v>114.2</v>
      </c>
      <c r="AE85">
        <v>119.7</v>
      </c>
    </row>
    <row r="86" spans="1:31" x14ac:dyDescent="0.3">
      <c r="A86" t="s">
        <v>27</v>
      </c>
      <c r="B86">
        <v>2015</v>
      </c>
      <c r="C86" t="s">
        <v>34</v>
      </c>
      <c r="D86">
        <f t="shared" si="2"/>
        <v>5</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s="2">
        <f>'Missing values'!V142</f>
        <v>119.6</v>
      </c>
      <c r="W86">
        <v>121.9</v>
      </c>
      <c r="X86">
        <v>121.5</v>
      </c>
      <c r="Y86">
        <v>119.4</v>
      </c>
      <c r="Z86">
        <v>112.3</v>
      </c>
      <c r="AA86">
        <v>120.5</v>
      </c>
      <c r="AB86">
        <v>116.7</v>
      </c>
      <c r="AC86">
        <v>113.3</v>
      </c>
      <c r="AD86">
        <v>116.9</v>
      </c>
      <c r="AE86">
        <v>122.4</v>
      </c>
    </row>
    <row r="87" spans="1:31" x14ac:dyDescent="0.3">
      <c r="A87" t="s">
        <v>30</v>
      </c>
      <c r="B87">
        <v>2015</v>
      </c>
      <c r="C87" t="s">
        <v>34</v>
      </c>
      <c r="D87">
        <f t="shared" si="2"/>
        <v>5</v>
      </c>
      <c r="E87">
        <v>123.6</v>
      </c>
      <c r="F87">
        <v>128</v>
      </c>
      <c r="G87">
        <v>115</v>
      </c>
      <c r="H87">
        <v>127.3</v>
      </c>
      <c r="I87">
        <v>109.8</v>
      </c>
      <c r="J87">
        <v>132.6</v>
      </c>
      <c r="K87">
        <v>130.9</v>
      </c>
      <c r="L87">
        <v>130.5</v>
      </c>
      <c r="M87">
        <v>95.3</v>
      </c>
      <c r="N87">
        <v>123.4</v>
      </c>
      <c r="O87">
        <v>119.2</v>
      </c>
      <c r="P87">
        <v>129.80000000000001</v>
      </c>
      <c r="Q87">
        <v>125</v>
      </c>
      <c r="R87">
        <v>127.9</v>
      </c>
      <c r="S87">
        <v>125.4</v>
      </c>
      <c r="T87">
        <v>121.3</v>
      </c>
      <c r="U87">
        <v>124.7</v>
      </c>
      <c r="V87">
        <v>119.6</v>
      </c>
      <c r="W87">
        <v>119.2</v>
      </c>
      <c r="X87">
        <v>120.2</v>
      </c>
      <c r="Y87">
        <v>117.7</v>
      </c>
      <c r="Z87">
        <v>112.3</v>
      </c>
      <c r="AA87">
        <v>121.4</v>
      </c>
      <c r="AB87">
        <v>116.3</v>
      </c>
      <c r="AC87">
        <v>112</v>
      </c>
      <c r="AD87">
        <v>116.1</v>
      </c>
      <c r="AE87">
        <v>121.6</v>
      </c>
    </row>
    <row r="88" spans="1:31" x14ac:dyDescent="0.3">
      <c r="A88" t="s">
        <v>29</v>
      </c>
      <c r="B88">
        <v>2015</v>
      </c>
      <c r="C88" t="s">
        <v>34</v>
      </c>
      <c r="D88">
        <f t="shared" si="2"/>
        <v>5</v>
      </c>
      <c r="E88">
        <v>123.8</v>
      </c>
      <c r="F88">
        <v>129.69999999999999</v>
      </c>
      <c r="G88">
        <v>111.3</v>
      </c>
      <c r="H88">
        <v>126.6</v>
      </c>
      <c r="I88">
        <v>105.2</v>
      </c>
      <c r="J88">
        <v>130.80000000000001</v>
      </c>
      <c r="K88">
        <v>135.6</v>
      </c>
      <c r="L88">
        <v>142.6</v>
      </c>
      <c r="M88">
        <v>90.8</v>
      </c>
      <c r="N88">
        <v>128.80000000000001</v>
      </c>
      <c r="O88">
        <v>117.7</v>
      </c>
      <c r="P88">
        <v>129.9</v>
      </c>
      <c r="Q88">
        <v>126.1</v>
      </c>
      <c r="R88">
        <v>131.30000000000001</v>
      </c>
      <c r="S88">
        <v>122.4</v>
      </c>
      <c r="T88">
        <v>117.4</v>
      </c>
      <c r="U88">
        <v>121.6</v>
      </c>
      <c r="V88">
        <v>119.6</v>
      </c>
      <c r="W88">
        <v>114.9</v>
      </c>
      <c r="X88">
        <v>118.7</v>
      </c>
      <c r="Y88">
        <v>114.9</v>
      </c>
      <c r="Z88">
        <v>112.4</v>
      </c>
      <c r="AA88">
        <v>122</v>
      </c>
      <c r="AB88">
        <v>116</v>
      </c>
      <c r="AC88">
        <v>110.8</v>
      </c>
      <c r="AD88">
        <v>115.2</v>
      </c>
      <c r="AE88">
        <v>120.7</v>
      </c>
    </row>
    <row r="89" spans="1:31" x14ac:dyDescent="0.3">
      <c r="A89" t="s">
        <v>27</v>
      </c>
      <c r="B89">
        <v>2015</v>
      </c>
      <c r="C89" t="s">
        <v>35</v>
      </c>
      <c r="D89">
        <f t="shared" si="2"/>
        <v>6</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s="2">
        <f>'Missing values'!V175</f>
        <v>119</v>
      </c>
      <c r="W89">
        <v>122.6</v>
      </c>
      <c r="X89">
        <v>122.8</v>
      </c>
      <c r="Y89">
        <v>120.4</v>
      </c>
      <c r="Z89">
        <v>113</v>
      </c>
      <c r="AA89">
        <v>122</v>
      </c>
      <c r="AB89">
        <v>117.9</v>
      </c>
      <c r="AC89">
        <v>114.2</v>
      </c>
      <c r="AD89">
        <v>117.9</v>
      </c>
      <c r="AE89">
        <v>124.1</v>
      </c>
    </row>
    <row r="90" spans="1:31" x14ac:dyDescent="0.3">
      <c r="A90" t="s">
        <v>30</v>
      </c>
      <c r="B90">
        <v>2015</v>
      </c>
      <c r="C90" t="s">
        <v>35</v>
      </c>
      <c r="D90">
        <f t="shared" si="2"/>
        <v>6</v>
      </c>
      <c r="E90">
        <v>123.9</v>
      </c>
      <c r="F90">
        <v>131.80000000000001</v>
      </c>
      <c r="G90">
        <v>121.6</v>
      </c>
      <c r="H90">
        <v>128.19999999999999</v>
      </c>
      <c r="I90">
        <v>111.1</v>
      </c>
      <c r="J90">
        <v>132.80000000000001</v>
      </c>
      <c r="K90">
        <v>139.1</v>
      </c>
      <c r="L90">
        <v>137.4</v>
      </c>
      <c r="M90">
        <v>94.1</v>
      </c>
      <c r="N90">
        <v>125.5</v>
      </c>
      <c r="O90">
        <v>119.8</v>
      </c>
      <c r="P90">
        <v>130.9</v>
      </c>
      <c r="Q90">
        <v>127.3</v>
      </c>
      <c r="R90">
        <v>129.19999999999999</v>
      </c>
      <c r="S90">
        <v>126.4</v>
      </c>
      <c r="T90">
        <v>122</v>
      </c>
      <c r="U90">
        <v>125.7</v>
      </c>
      <c r="V90">
        <v>119</v>
      </c>
      <c r="W90">
        <v>119.8</v>
      </c>
      <c r="X90">
        <v>121.1</v>
      </c>
      <c r="Y90">
        <v>118.5</v>
      </c>
      <c r="Z90">
        <v>112.8</v>
      </c>
      <c r="AA90">
        <v>123.1</v>
      </c>
      <c r="AB90">
        <v>116.9</v>
      </c>
      <c r="AC90">
        <v>112.9</v>
      </c>
      <c r="AD90">
        <v>117</v>
      </c>
      <c r="AE90">
        <v>123</v>
      </c>
    </row>
    <row r="91" spans="1:31" x14ac:dyDescent="0.3">
      <c r="A91" t="s">
        <v>29</v>
      </c>
      <c r="B91">
        <v>2015</v>
      </c>
      <c r="C91" t="s">
        <v>35</v>
      </c>
      <c r="D91">
        <f t="shared" si="2"/>
        <v>6</v>
      </c>
      <c r="E91">
        <v>123.6</v>
      </c>
      <c r="F91">
        <v>134.4</v>
      </c>
      <c r="G91">
        <v>120.9</v>
      </c>
      <c r="H91">
        <v>127.3</v>
      </c>
      <c r="I91">
        <v>106</v>
      </c>
      <c r="J91">
        <v>132.30000000000001</v>
      </c>
      <c r="K91">
        <v>146.69999999999999</v>
      </c>
      <c r="L91">
        <v>148.1</v>
      </c>
      <c r="M91">
        <v>89.8</v>
      </c>
      <c r="N91">
        <v>130.5</v>
      </c>
      <c r="O91">
        <v>118</v>
      </c>
      <c r="P91">
        <v>130.5</v>
      </c>
      <c r="Q91">
        <v>128.5</v>
      </c>
      <c r="R91">
        <v>132.1</v>
      </c>
      <c r="S91">
        <v>123.2</v>
      </c>
      <c r="T91">
        <v>117.6</v>
      </c>
      <c r="U91">
        <v>122.3</v>
      </c>
      <c r="V91">
        <v>119</v>
      </c>
      <c r="W91">
        <v>115.1</v>
      </c>
      <c r="X91">
        <v>119.2</v>
      </c>
      <c r="Y91">
        <v>115.4</v>
      </c>
      <c r="Z91">
        <v>112.5</v>
      </c>
      <c r="AA91">
        <v>123.8</v>
      </c>
      <c r="AB91">
        <v>116.2</v>
      </c>
      <c r="AC91">
        <v>111.7</v>
      </c>
      <c r="AD91">
        <v>116</v>
      </c>
      <c r="AE91">
        <v>121.7</v>
      </c>
    </row>
    <row r="92" spans="1:31" x14ac:dyDescent="0.3">
      <c r="A92" t="s">
        <v>27</v>
      </c>
      <c r="B92">
        <v>2015</v>
      </c>
      <c r="C92" t="s">
        <v>36</v>
      </c>
      <c r="D92">
        <f t="shared" si="2"/>
        <v>7</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s="2">
        <f>'Missing values'!V205</f>
        <v>119.9</v>
      </c>
      <c r="W92">
        <v>123</v>
      </c>
      <c r="X92">
        <v>123</v>
      </c>
      <c r="Y92">
        <v>120.8</v>
      </c>
      <c r="Z92">
        <v>112.7</v>
      </c>
      <c r="AA92">
        <v>122.9</v>
      </c>
      <c r="AB92">
        <v>118</v>
      </c>
      <c r="AC92">
        <v>114.1</v>
      </c>
      <c r="AD92">
        <v>118.1</v>
      </c>
      <c r="AE92">
        <v>124.7</v>
      </c>
    </row>
    <row r="93" spans="1:31" x14ac:dyDescent="0.3">
      <c r="A93" t="s">
        <v>30</v>
      </c>
      <c r="B93">
        <v>2015</v>
      </c>
      <c r="C93" t="s">
        <v>36</v>
      </c>
      <c r="D93">
        <f t="shared" si="2"/>
        <v>7</v>
      </c>
      <c r="E93">
        <v>123.7</v>
      </c>
      <c r="F93">
        <v>132.5</v>
      </c>
      <c r="G93">
        <v>121</v>
      </c>
      <c r="H93">
        <v>128.30000000000001</v>
      </c>
      <c r="I93">
        <v>110.9</v>
      </c>
      <c r="J93">
        <v>133.1</v>
      </c>
      <c r="K93">
        <v>145.1</v>
      </c>
      <c r="L93">
        <v>139.1</v>
      </c>
      <c r="M93">
        <v>91.3</v>
      </c>
      <c r="N93">
        <v>126.1</v>
      </c>
      <c r="O93">
        <v>119.9</v>
      </c>
      <c r="P93">
        <v>131.4</v>
      </c>
      <c r="Q93">
        <v>128.19999999999999</v>
      </c>
      <c r="R93">
        <v>130.4</v>
      </c>
      <c r="S93">
        <v>126.7</v>
      </c>
      <c r="T93">
        <v>122.3</v>
      </c>
      <c r="U93">
        <v>126.1</v>
      </c>
      <c r="V93">
        <v>119.9</v>
      </c>
      <c r="W93">
        <v>120.1</v>
      </c>
      <c r="X93">
        <v>121.3</v>
      </c>
      <c r="Y93">
        <v>119</v>
      </c>
      <c r="Z93">
        <v>112.3</v>
      </c>
      <c r="AA93">
        <v>124.4</v>
      </c>
      <c r="AB93">
        <v>117.2</v>
      </c>
      <c r="AC93">
        <v>112.7</v>
      </c>
      <c r="AD93">
        <v>117.2</v>
      </c>
      <c r="AE93">
        <v>123.6</v>
      </c>
    </row>
    <row r="94" spans="1:31" x14ac:dyDescent="0.3">
      <c r="A94" t="s">
        <v>29</v>
      </c>
      <c r="B94">
        <v>2015</v>
      </c>
      <c r="C94" t="s">
        <v>36</v>
      </c>
      <c r="D94">
        <f t="shared" si="2"/>
        <v>7</v>
      </c>
      <c r="E94">
        <v>123.2</v>
      </c>
      <c r="F94">
        <v>134.30000000000001</v>
      </c>
      <c r="G94">
        <v>119.5</v>
      </c>
      <c r="H94">
        <v>127.7</v>
      </c>
      <c r="I94">
        <v>106.3</v>
      </c>
      <c r="J94">
        <v>132.80000000000001</v>
      </c>
      <c r="K94">
        <v>153.5</v>
      </c>
      <c r="L94">
        <v>149.5</v>
      </c>
      <c r="M94">
        <v>85.7</v>
      </c>
      <c r="N94">
        <v>131.5</v>
      </c>
      <c r="O94">
        <v>118.3</v>
      </c>
      <c r="P94">
        <v>131.1</v>
      </c>
      <c r="Q94">
        <v>129.5</v>
      </c>
      <c r="R94">
        <v>133.1</v>
      </c>
      <c r="S94">
        <v>123.5</v>
      </c>
      <c r="T94">
        <v>117.9</v>
      </c>
      <c r="U94">
        <v>122.7</v>
      </c>
      <c r="V94">
        <v>119.9</v>
      </c>
      <c r="W94">
        <v>115.3</v>
      </c>
      <c r="X94">
        <v>119.5</v>
      </c>
      <c r="Y94">
        <v>116</v>
      </c>
      <c r="Z94">
        <v>111.7</v>
      </c>
      <c r="AA94">
        <v>125.4</v>
      </c>
      <c r="AB94">
        <v>116.6</v>
      </c>
      <c r="AC94">
        <v>111.5</v>
      </c>
      <c r="AD94">
        <v>116.3</v>
      </c>
      <c r="AE94">
        <v>122.4</v>
      </c>
    </row>
    <row r="95" spans="1:31" x14ac:dyDescent="0.3">
      <c r="A95" t="s">
        <v>27</v>
      </c>
      <c r="B95">
        <v>2015</v>
      </c>
      <c r="C95" t="s">
        <v>37</v>
      </c>
      <c r="D95">
        <f t="shared" si="2"/>
        <v>8</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s="2">
        <f>'Missing values'!V235</f>
        <v>120.9</v>
      </c>
      <c r="W95">
        <v>123.8</v>
      </c>
      <c r="X95">
        <v>123.7</v>
      </c>
      <c r="Y95">
        <v>121.1</v>
      </c>
      <c r="Z95">
        <v>112.5</v>
      </c>
      <c r="AA95">
        <v>123.6</v>
      </c>
      <c r="AB95">
        <v>118.5</v>
      </c>
      <c r="AC95">
        <v>113.6</v>
      </c>
      <c r="AD95">
        <v>118.2</v>
      </c>
      <c r="AE95">
        <v>126.1</v>
      </c>
    </row>
    <row r="96" spans="1:31" x14ac:dyDescent="0.3">
      <c r="A96" t="s">
        <v>30</v>
      </c>
      <c r="B96">
        <v>2015</v>
      </c>
      <c r="C96" t="s">
        <v>37</v>
      </c>
      <c r="D96">
        <f t="shared" si="2"/>
        <v>8</v>
      </c>
      <c r="E96">
        <v>124.2</v>
      </c>
      <c r="F96">
        <v>131.4</v>
      </c>
      <c r="G96">
        <v>120.1</v>
      </c>
      <c r="H96">
        <v>128.5</v>
      </c>
      <c r="I96">
        <v>111.4</v>
      </c>
      <c r="J96">
        <v>132.30000000000001</v>
      </c>
      <c r="K96">
        <v>157.6</v>
      </c>
      <c r="L96">
        <v>144</v>
      </c>
      <c r="M96">
        <v>90.5</v>
      </c>
      <c r="N96">
        <v>126.8</v>
      </c>
      <c r="O96">
        <v>120.4</v>
      </c>
      <c r="P96">
        <v>132.1</v>
      </c>
      <c r="Q96">
        <v>130.30000000000001</v>
      </c>
      <c r="R96">
        <v>131.19999999999999</v>
      </c>
      <c r="S96">
        <v>127.2</v>
      </c>
      <c r="T96">
        <v>122.9</v>
      </c>
      <c r="U96">
        <v>126.6</v>
      </c>
      <c r="V96">
        <v>120.9</v>
      </c>
      <c r="W96">
        <v>120.6</v>
      </c>
      <c r="X96">
        <v>122</v>
      </c>
      <c r="Y96">
        <v>119.4</v>
      </c>
      <c r="Z96">
        <v>112.3</v>
      </c>
      <c r="AA96">
        <v>125.1</v>
      </c>
      <c r="AB96">
        <v>117.8</v>
      </c>
      <c r="AC96">
        <v>111.7</v>
      </c>
      <c r="AD96">
        <v>117.2</v>
      </c>
      <c r="AE96">
        <v>124.8</v>
      </c>
    </row>
    <row r="97" spans="1:31" x14ac:dyDescent="0.3">
      <c r="A97" t="s">
        <v>29</v>
      </c>
      <c r="B97">
        <v>2015</v>
      </c>
      <c r="C97" t="s">
        <v>37</v>
      </c>
      <c r="D97">
        <f t="shared" si="2"/>
        <v>8</v>
      </c>
      <c r="E97">
        <v>123.1</v>
      </c>
      <c r="F97">
        <v>131.69999999999999</v>
      </c>
      <c r="G97">
        <v>118.1</v>
      </c>
      <c r="H97">
        <v>128</v>
      </c>
      <c r="I97">
        <v>106.8</v>
      </c>
      <c r="J97">
        <v>130.1</v>
      </c>
      <c r="K97">
        <v>165.5</v>
      </c>
      <c r="L97">
        <v>156</v>
      </c>
      <c r="M97">
        <v>85.3</v>
      </c>
      <c r="N97">
        <v>132.69999999999999</v>
      </c>
      <c r="O97">
        <v>118.8</v>
      </c>
      <c r="P97">
        <v>131.69999999999999</v>
      </c>
      <c r="Q97">
        <v>131.1</v>
      </c>
      <c r="R97">
        <v>134.19999999999999</v>
      </c>
      <c r="S97">
        <v>123.7</v>
      </c>
      <c r="T97">
        <v>118.2</v>
      </c>
      <c r="U97">
        <v>122.9</v>
      </c>
      <c r="V97">
        <v>120.9</v>
      </c>
      <c r="W97">
        <v>115.3</v>
      </c>
      <c r="X97">
        <v>120</v>
      </c>
      <c r="Y97">
        <v>116.6</v>
      </c>
      <c r="Z97">
        <v>112</v>
      </c>
      <c r="AA97">
        <v>126.2</v>
      </c>
      <c r="AB97">
        <v>117.2</v>
      </c>
      <c r="AC97">
        <v>109.9</v>
      </c>
      <c r="AD97">
        <v>116.2</v>
      </c>
      <c r="AE97">
        <v>123.2</v>
      </c>
    </row>
    <row r="98" spans="1:31" x14ac:dyDescent="0.3">
      <c r="A98" t="s">
        <v>27</v>
      </c>
      <c r="B98">
        <v>2015</v>
      </c>
      <c r="C98" t="s">
        <v>38</v>
      </c>
      <c r="D98">
        <f t="shared" si="2"/>
        <v>9</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s="2">
        <f>'Missing values'!V265</f>
        <v>121.6</v>
      </c>
      <c r="W98">
        <v>123.7</v>
      </c>
      <c r="X98">
        <v>124.5</v>
      </c>
      <c r="Y98">
        <v>121.4</v>
      </c>
      <c r="Z98">
        <v>113.7</v>
      </c>
      <c r="AA98">
        <v>124.5</v>
      </c>
      <c r="AB98">
        <v>119.6</v>
      </c>
      <c r="AC98">
        <v>113.8</v>
      </c>
      <c r="AD98">
        <v>118.8</v>
      </c>
      <c r="AE98">
        <v>127</v>
      </c>
    </row>
    <row r="99" spans="1:31" x14ac:dyDescent="0.3">
      <c r="A99" t="s">
        <v>30</v>
      </c>
      <c r="B99">
        <v>2015</v>
      </c>
      <c r="C99" t="s">
        <v>38</v>
      </c>
      <c r="D99">
        <f t="shared" si="2"/>
        <v>9</v>
      </c>
      <c r="E99">
        <v>124.6</v>
      </c>
      <c r="F99">
        <v>130.4</v>
      </c>
      <c r="G99">
        <v>118.7</v>
      </c>
      <c r="H99">
        <v>128.9</v>
      </c>
      <c r="I99">
        <v>111.9</v>
      </c>
      <c r="J99">
        <v>128.4</v>
      </c>
      <c r="K99">
        <v>162.19999999999999</v>
      </c>
      <c r="L99">
        <v>150</v>
      </c>
      <c r="M99">
        <v>90.4</v>
      </c>
      <c r="N99">
        <v>128.4</v>
      </c>
      <c r="O99">
        <v>120.7</v>
      </c>
      <c r="P99">
        <v>132.5</v>
      </c>
      <c r="Q99">
        <v>131.19999999999999</v>
      </c>
      <c r="R99">
        <v>132</v>
      </c>
      <c r="S99">
        <v>127.9</v>
      </c>
      <c r="T99">
        <v>123.4</v>
      </c>
      <c r="U99">
        <v>127.2</v>
      </c>
      <c r="V99">
        <v>121.6</v>
      </c>
      <c r="W99">
        <v>120.4</v>
      </c>
      <c r="X99">
        <v>122.6</v>
      </c>
      <c r="Y99">
        <v>119.8</v>
      </c>
      <c r="Z99">
        <v>113.4</v>
      </c>
      <c r="AA99">
        <v>125.7</v>
      </c>
      <c r="AB99">
        <v>118.3</v>
      </c>
      <c r="AC99">
        <v>111.3</v>
      </c>
      <c r="AD99">
        <v>117.5</v>
      </c>
      <c r="AE99">
        <v>125.4</v>
      </c>
    </row>
    <row r="100" spans="1:31" x14ac:dyDescent="0.3">
      <c r="A100" t="s">
        <v>29</v>
      </c>
      <c r="B100">
        <v>2015</v>
      </c>
      <c r="C100" t="s">
        <v>38</v>
      </c>
      <c r="D100">
        <f t="shared" si="2"/>
        <v>9</v>
      </c>
      <c r="E100">
        <v>123.4</v>
      </c>
      <c r="F100">
        <v>129</v>
      </c>
      <c r="G100">
        <v>115.6</v>
      </c>
      <c r="H100">
        <v>128.30000000000001</v>
      </c>
      <c r="I100">
        <v>107</v>
      </c>
      <c r="J100">
        <v>124</v>
      </c>
      <c r="K100">
        <v>168.5</v>
      </c>
      <c r="L100">
        <v>165.4</v>
      </c>
      <c r="M100">
        <v>86.3</v>
      </c>
      <c r="N100">
        <v>134.4</v>
      </c>
      <c r="O100">
        <v>119.1</v>
      </c>
      <c r="P100">
        <v>132.30000000000001</v>
      </c>
      <c r="Q100">
        <v>131.5</v>
      </c>
      <c r="R100">
        <v>134.69999999999999</v>
      </c>
      <c r="S100">
        <v>124</v>
      </c>
      <c r="T100">
        <v>118.6</v>
      </c>
      <c r="U100">
        <v>123.2</v>
      </c>
      <c r="V100">
        <v>121.6</v>
      </c>
      <c r="W100">
        <v>115.1</v>
      </c>
      <c r="X100">
        <v>120.4</v>
      </c>
      <c r="Y100">
        <v>117.1</v>
      </c>
      <c r="Z100">
        <v>112.9</v>
      </c>
      <c r="AA100">
        <v>126.5</v>
      </c>
      <c r="AB100">
        <v>117.3</v>
      </c>
      <c r="AC100">
        <v>109.1</v>
      </c>
      <c r="AD100">
        <v>116.2</v>
      </c>
      <c r="AE100">
        <v>123.5</v>
      </c>
    </row>
    <row r="101" spans="1:31" x14ac:dyDescent="0.3">
      <c r="A101" t="s">
        <v>27</v>
      </c>
      <c r="B101">
        <v>2015</v>
      </c>
      <c r="C101" t="s">
        <v>39</v>
      </c>
      <c r="D101">
        <f t="shared" si="2"/>
        <v>10</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s="2">
        <f>'Missing values'!V295</f>
        <v>122.4</v>
      </c>
      <c r="W101">
        <v>124.4</v>
      </c>
      <c r="X101">
        <v>125.1</v>
      </c>
      <c r="Y101">
        <v>122</v>
      </c>
      <c r="Z101">
        <v>114.2</v>
      </c>
      <c r="AA101">
        <v>125.1</v>
      </c>
      <c r="AB101">
        <v>120.1</v>
      </c>
      <c r="AC101">
        <v>113.8</v>
      </c>
      <c r="AD101">
        <v>119.2</v>
      </c>
      <c r="AE101">
        <v>127.7</v>
      </c>
    </row>
    <row r="102" spans="1:31" x14ac:dyDescent="0.3">
      <c r="A102" t="s">
        <v>30</v>
      </c>
      <c r="B102">
        <v>2015</v>
      </c>
      <c r="C102" t="s">
        <v>39</v>
      </c>
      <c r="D102">
        <f t="shared" si="2"/>
        <v>10</v>
      </c>
      <c r="E102">
        <v>125</v>
      </c>
      <c r="F102">
        <v>129.80000000000001</v>
      </c>
      <c r="G102">
        <v>118.9</v>
      </c>
      <c r="H102">
        <v>129.1</v>
      </c>
      <c r="I102">
        <v>113.3</v>
      </c>
      <c r="J102">
        <v>129</v>
      </c>
      <c r="K102">
        <v>160.4</v>
      </c>
      <c r="L102">
        <v>165.3</v>
      </c>
      <c r="M102">
        <v>92.3</v>
      </c>
      <c r="N102">
        <v>129.69999999999999</v>
      </c>
      <c r="O102">
        <v>121.1</v>
      </c>
      <c r="P102">
        <v>133</v>
      </c>
      <c r="Q102">
        <v>132.1</v>
      </c>
      <c r="R102">
        <v>132.5</v>
      </c>
      <c r="S102">
        <v>128.5</v>
      </c>
      <c r="T102">
        <v>123.8</v>
      </c>
      <c r="U102">
        <v>127.8</v>
      </c>
      <c r="V102">
        <v>122.4</v>
      </c>
      <c r="W102">
        <v>120.8</v>
      </c>
      <c r="X102">
        <v>123</v>
      </c>
      <c r="Y102">
        <v>120.4</v>
      </c>
      <c r="Z102">
        <v>113.9</v>
      </c>
      <c r="AA102">
        <v>125.9</v>
      </c>
      <c r="AB102">
        <v>118.7</v>
      </c>
      <c r="AC102">
        <v>111.4</v>
      </c>
      <c r="AD102">
        <v>117.9</v>
      </c>
      <c r="AE102">
        <v>126.1</v>
      </c>
    </row>
    <row r="103" spans="1:31" x14ac:dyDescent="0.3">
      <c r="A103" t="s">
        <v>29</v>
      </c>
      <c r="B103">
        <v>2015</v>
      </c>
      <c r="C103" t="s">
        <v>39</v>
      </c>
      <c r="D103">
        <f t="shared" si="2"/>
        <v>10</v>
      </c>
      <c r="E103">
        <v>123.6</v>
      </c>
      <c r="F103">
        <v>128.6</v>
      </c>
      <c r="G103">
        <v>115.9</v>
      </c>
      <c r="H103">
        <v>128.5</v>
      </c>
      <c r="I103">
        <v>109</v>
      </c>
      <c r="J103">
        <v>124.1</v>
      </c>
      <c r="K103">
        <v>165.8</v>
      </c>
      <c r="L103">
        <v>187.2</v>
      </c>
      <c r="M103">
        <v>89.4</v>
      </c>
      <c r="N103">
        <v>135.80000000000001</v>
      </c>
      <c r="O103">
        <v>119.4</v>
      </c>
      <c r="P103">
        <v>132.9</v>
      </c>
      <c r="Q103">
        <v>132.6</v>
      </c>
      <c r="R103">
        <v>135.30000000000001</v>
      </c>
      <c r="S103">
        <v>124.4</v>
      </c>
      <c r="T103">
        <v>118.8</v>
      </c>
      <c r="U103">
        <v>123.6</v>
      </c>
      <c r="V103">
        <v>122.4</v>
      </c>
      <c r="W103">
        <v>114.9</v>
      </c>
      <c r="X103">
        <v>120.7</v>
      </c>
      <c r="Y103">
        <v>117.7</v>
      </c>
      <c r="Z103">
        <v>113.5</v>
      </c>
      <c r="AA103">
        <v>126.5</v>
      </c>
      <c r="AB103">
        <v>117.7</v>
      </c>
      <c r="AC103">
        <v>109.3</v>
      </c>
      <c r="AD103">
        <v>116.5</v>
      </c>
      <c r="AE103">
        <v>124.2</v>
      </c>
    </row>
    <row r="104" spans="1:31" x14ac:dyDescent="0.3">
      <c r="A104" t="s">
        <v>27</v>
      </c>
      <c r="B104">
        <v>2015</v>
      </c>
      <c r="C104" t="s">
        <v>41</v>
      </c>
      <c r="D104">
        <f t="shared" si="2"/>
        <v>11</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s="2">
        <f>'Missing values'!V325</f>
        <v>122.9</v>
      </c>
      <c r="W104">
        <v>125.6</v>
      </c>
      <c r="X104">
        <v>125.6</v>
      </c>
      <c r="Y104">
        <v>122.6</v>
      </c>
      <c r="Z104">
        <v>114.2</v>
      </c>
      <c r="AA104">
        <v>125.8</v>
      </c>
      <c r="AB104">
        <v>120.9</v>
      </c>
      <c r="AC104">
        <v>114</v>
      </c>
      <c r="AD104">
        <v>119.6</v>
      </c>
      <c r="AE104">
        <v>128.30000000000001</v>
      </c>
    </row>
    <row r="105" spans="1:31" x14ac:dyDescent="0.3">
      <c r="A105" t="s">
        <v>30</v>
      </c>
      <c r="B105">
        <v>2015</v>
      </c>
      <c r="C105" t="s">
        <v>41</v>
      </c>
      <c r="D105">
        <f t="shared" si="2"/>
        <v>11</v>
      </c>
      <c r="E105">
        <v>125.4</v>
      </c>
      <c r="F105">
        <v>130.30000000000001</v>
      </c>
      <c r="G105">
        <v>121.6</v>
      </c>
      <c r="H105">
        <v>129.19999999999999</v>
      </c>
      <c r="I105">
        <v>114.9</v>
      </c>
      <c r="J105">
        <v>128.19999999999999</v>
      </c>
      <c r="K105">
        <v>158.4</v>
      </c>
      <c r="L105">
        <v>171.2</v>
      </c>
      <c r="M105">
        <v>93.3</v>
      </c>
      <c r="N105">
        <v>131.19999999999999</v>
      </c>
      <c r="O105">
        <v>121.7</v>
      </c>
      <c r="P105">
        <v>134</v>
      </c>
      <c r="Q105">
        <v>132.69999999999999</v>
      </c>
      <c r="R105">
        <v>133.6</v>
      </c>
      <c r="S105">
        <v>129.30000000000001</v>
      </c>
      <c r="T105">
        <v>124.5</v>
      </c>
      <c r="U105">
        <v>128.6</v>
      </c>
      <c r="V105">
        <v>122.9</v>
      </c>
      <c r="W105">
        <v>121.6</v>
      </c>
      <c r="X105">
        <v>123.4</v>
      </c>
      <c r="Y105">
        <v>120.9</v>
      </c>
      <c r="Z105">
        <v>113.8</v>
      </c>
      <c r="AA105">
        <v>126.3</v>
      </c>
      <c r="AB105">
        <v>119.2</v>
      </c>
      <c r="AC105">
        <v>111.5</v>
      </c>
      <c r="AD105">
        <v>118.1</v>
      </c>
      <c r="AE105">
        <v>126.6</v>
      </c>
    </row>
    <row r="106" spans="1:31" x14ac:dyDescent="0.3">
      <c r="A106" t="s">
        <v>29</v>
      </c>
      <c r="B106">
        <v>2015</v>
      </c>
      <c r="C106" t="s">
        <v>41</v>
      </c>
      <c r="D106">
        <f t="shared" si="2"/>
        <v>11</v>
      </c>
      <c r="E106">
        <v>124</v>
      </c>
      <c r="F106">
        <v>129.80000000000001</v>
      </c>
      <c r="G106">
        <v>121.5</v>
      </c>
      <c r="H106">
        <v>128.6</v>
      </c>
      <c r="I106">
        <v>110</v>
      </c>
      <c r="J106">
        <v>123.7</v>
      </c>
      <c r="K106">
        <v>164.6</v>
      </c>
      <c r="L106">
        <v>191.6</v>
      </c>
      <c r="M106">
        <v>90.8</v>
      </c>
      <c r="N106">
        <v>137.1</v>
      </c>
      <c r="O106">
        <v>119.8</v>
      </c>
      <c r="P106">
        <v>133.69999999999999</v>
      </c>
      <c r="Q106">
        <v>133.30000000000001</v>
      </c>
      <c r="R106">
        <v>137.6</v>
      </c>
      <c r="S106">
        <v>125</v>
      </c>
      <c r="T106">
        <v>119.3</v>
      </c>
      <c r="U106">
        <v>124.2</v>
      </c>
      <c r="V106">
        <v>122.9</v>
      </c>
      <c r="W106">
        <v>115.1</v>
      </c>
      <c r="X106">
        <v>121</v>
      </c>
      <c r="Y106">
        <v>118.1</v>
      </c>
      <c r="Z106">
        <v>113.3</v>
      </c>
      <c r="AA106">
        <v>126.6</v>
      </c>
      <c r="AB106">
        <v>117.9</v>
      </c>
      <c r="AC106">
        <v>109.3</v>
      </c>
      <c r="AD106">
        <v>116.6</v>
      </c>
      <c r="AE106">
        <v>124.6</v>
      </c>
    </row>
    <row r="107" spans="1:31" x14ac:dyDescent="0.3">
      <c r="A107" t="s">
        <v>27</v>
      </c>
      <c r="B107">
        <v>2015</v>
      </c>
      <c r="C107" t="s">
        <v>42</v>
      </c>
      <c r="D107">
        <f t="shared" si="2"/>
        <v>12</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s="2">
        <f>'Missing values'!V355</f>
        <v>122.4</v>
      </c>
      <c r="W107">
        <v>125.7</v>
      </c>
      <c r="X107">
        <v>126</v>
      </c>
      <c r="Y107">
        <v>123.1</v>
      </c>
      <c r="Z107">
        <v>114.1</v>
      </c>
      <c r="AA107">
        <v>125.6</v>
      </c>
      <c r="AB107">
        <v>121.6</v>
      </c>
      <c r="AC107">
        <v>114</v>
      </c>
      <c r="AD107">
        <v>119.8</v>
      </c>
      <c r="AE107">
        <v>127.9</v>
      </c>
    </row>
    <row r="108" spans="1:31" x14ac:dyDescent="0.3">
      <c r="A108" t="s">
        <v>30</v>
      </c>
      <c r="B108">
        <v>2015</v>
      </c>
      <c r="C108" t="s">
        <v>42</v>
      </c>
      <c r="D108">
        <f t="shared" si="2"/>
        <v>12</v>
      </c>
      <c r="E108">
        <v>125.7</v>
      </c>
      <c r="F108">
        <v>131.4</v>
      </c>
      <c r="G108">
        <v>124.8</v>
      </c>
      <c r="H108">
        <v>129.4</v>
      </c>
      <c r="I108">
        <v>115.3</v>
      </c>
      <c r="J108">
        <v>126.6</v>
      </c>
      <c r="K108">
        <v>146.69999999999999</v>
      </c>
      <c r="L108">
        <v>171.5</v>
      </c>
      <c r="M108">
        <v>94.5</v>
      </c>
      <c r="N108">
        <v>132.1</v>
      </c>
      <c r="O108">
        <v>122</v>
      </c>
      <c r="P108">
        <v>134.69999999999999</v>
      </c>
      <c r="Q108">
        <v>131.4</v>
      </c>
      <c r="R108">
        <v>134.5</v>
      </c>
      <c r="S108">
        <v>129.69999999999999</v>
      </c>
      <c r="T108">
        <v>124.8</v>
      </c>
      <c r="U108">
        <v>129</v>
      </c>
      <c r="V108">
        <v>122.4</v>
      </c>
      <c r="W108">
        <v>122</v>
      </c>
      <c r="X108">
        <v>123.6</v>
      </c>
      <c r="Y108">
        <v>121.4</v>
      </c>
      <c r="Z108">
        <v>113.7</v>
      </c>
      <c r="AA108">
        <v>126.2</v>
      </c>
      <c r="AB108">
        <v>119.6</v>
      </c>
      <c r="AC108">
        <v>111.5</v>
      </c>
      <c r="AD108">
        <v>118.3</v>
      </c>
      <c r="AE108">
        <v>126.1</v>
      </c>
    </row>
    <row r="109" spans="1:31" x14ac:dyDescent="0.3">
      <c r="A109" t="s">
        <v>29</v>
      </c>
      <c r="B109">
        <v>2015</v>
      </c>
      <c r="C109" t="s">
        <v>42</v>
      </c>
      <c r="D109">
        <f t="shared" si="2"/>
        <v>12</v>
      </c>
      <c r="E109">
        <v>124.3</v>
      </c>
      <c r="F109">
        <v>131.69999999999999</v>
      </c>
      <c r="G109">
        <v>127.1</v>
      </c>
      <c r="H109">
        <v>128.6</v>
      </c>
      <c r="I109">
        <v>110</v>
      </c>
      <c r="J109">
        <v>120.8</v>
      </c>
      <c r="K109">
        <v>149</v>
      </c>
      <c r="L109">
        <v>190.1</v>
      </c>
      <c r="M109">
        <v>92.7</v>
      </c>
      <c r="N109">
        <v>138.6</v>
      </c>
      <c r="O109">
        <v>120.2</v>
      </c>
      <c r="P109">
        <v>134.19999999999999</v>
      </c>
      <c r="Q109">
        <v>131.5</v>
      </c>
      <c r="R109">
        <v>138.19999999999999</v>
      </c>
      <c r="S109">
        <v>125.4</v>
      </c>
      <c r="T109">
        <v>119.5</v>
      </c>
      <c r="U109">
        <v>124.5</v>
      </c>
      <c r="V109">
        <v>122.4</v>
      </c>
      <c r="W109">
        <v>116</v>
      </c>
      <c r="X109">
        <v>121</v>
      </c>
      <c r="Y109">
        <v>118.6</v>
      </c>
      <c r="Z109">
        <v>113.2</v>
      </c>
      <c r="AA109">
        <v>126.6</v>
      </c>
      <c r="AB109">
        <v>118.1</v>
      </c>
      <c r="AC109">
        <v>109.3</v>
      </c>
      <c r="AD109">
        <v>116.7</v>
      </c>
      <c r="AE109">
        <v>124</v>
      </c>
    </row>
    <row r="110" spans="1:31" x14ac:dyDescent="0.3">
      <c r="A110" t="s">
        <v>27</v>
      </c>
      <c r="B110">
        <v>2016</v>
      </c>
      <c r="C110" t="s">
        <v>28</v>
      </c>
      <c r="D110">
        <f t="shared" ref="D110:D173" si="3">IF(C110="January",1,
IF(C110="february",2,
IF(C110="march",3,
IF(C110="april",4,
IF(C110="may",5,
IF(C110="june",6,
IF(C110="july",7,
IF(C110="august",8,
IF(C110="september",9,
IF(C110="october",10,
IF(C110="november",11,
IF(C110="december",12,
))))))))))))</f>
        <v>1</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s="2">
        <f>'Missing values'!V16</f>
        <v>123.4</v>
      </c>
      <c r="W110">
        <v>126.2</v>
      </c>
      <c r="X110">
        <v>126.6</v>
      </c>
      <c r="Y110">
        <v>123.7</v>
      </c>
      <c r="Z110">
        <v>114.9</v>
      </c>
      <c r="AA110">
        <v>126.2</v>
      </c>
      <c r="AB110">
        <v>121.4</v>
      </c>
      <c r="AC110">
        <v>113.6</v>
      </c>
      <c r="AD110">
        <v>120.1</v>
      </c>
      <c r="AE110">
        <v>128.1</v>
      </c>
    </row>
    <row r="111" spans="1:31" x14ac:dyDescent="0.3">
      <c r="A111" t="s">
        <v>30</v>
      </c>
      <c r="B111">
        <v>2016</v>
      </c>
      <c r="C111" t="s">
        <v>28</v>
      </c>
      <c r="D111">
        <f t="shared" si="3"/>
        <v>1</v>
      </c>
      <c r="E111">
        <v>126.1</v>
      </c>
      <c r="F111">
        <v>134.1</v>
      </c>
      <c r="G111">
        <v>128.6</v>
      </c>
      <c r="H111">
        <v>129.9</v>
      </c>
      <c r="I111">
        <v>115.5</v>
      </c>
      <c r="J111">
        <v>125.7</v>
      </c>
      <c r="K111">
        <v>141.5</v>
      </c>
      <c r="L111">
        <v>170.7</v>
      </c>
      <c r="M111">
        <v>97.4</v>
      </c>
      <c r="N111">
        <v>132.9</v>
      </c>
      <c r="O111">
        <v>122.7</v>
      </c>
      <c r="P111">
        <v>135.30000000000001</v>
      </c>
      <c r="Q111">
        <v>131.30000000000001</v>
      </c>
      <c r="R111">
        <v>135.19999999999999</v>
      </c>
      <c r="S111">
        <v>130.30000000000001</v>
      </c>
      <c r="T111">
        <v>125.1</v>
      </c>
      <c r="U111">
        <v>129.5</v>
      </c>
      <c r="V111">
        <v>123.4</v>
      </c>
      <c r="W111">
        <v>122.7</v>
      </c>
      <c r="X111">
        <v>124.2</v>
      </c>
      <c r="Y111">
        <v>122</v>
      </c>
      <c r="Z111">
        <v>114.5</v>
      </c>
      <c r="AA111">
        <v>126.3</v>
      </c>
      <c r="AB111">
        <v>119.8</v>
      </c>
      <c r="AC111">
        <v>111.1</v>
      </c>
      <c r="AD111">
        <v>118.5</v>
      </c>
      <c r="AE111">
        <v>126.3</v>
      </c>
    </row>
    <row r="112" spans="1:31" x14ac:dyDescent="0.3">
      <c r="A112" t="s">
        <v>29</v>
      </c>
      <c r="B112">
        <v>2016</v>
      </c>
      <c r="C112" t="s">
        <v>28</v>
      </c>
      <c r="D112">
        <f t="shared" si="3"/>
        <v>1</v>
      </c>
      <c r="E112">
        <v>124.7</v>
      </c>
      <c r="F112">
        <v>135.9</v>
      </c>
      <c r="G112">
        <v>132</v>
      </c>
      <c r="H112">
        <v>129.19999999999999</v>
      </c>
      <c r="I112">
        <v>109.7</v>
      </c>
      <c r="J112">
        <v>119</v>
      </c>
      <c r="K112">
        <v>144.1</v>
      </c>
      <c r="L112">
        <v>184.2</v>
      </c>
      <c r="M112">
        <v>96.7</v>
      </c>
      <c r="N112">
        <v>139.5</v>
      </c>
      <c r="O112">
        <v>120.5</v>
      </c>
      <c r="P112">
        <v>134.69999999999999</v>
      </c>
      <c r="Q112">
        <v>131.19999999999999</v>
      </c>
      <c r="R112">
        <v>139.5</v>
      </c>
      <c r="S112">
        <v>125.8</v>
      </c>
      <c r="T112">
        <v>119.8</v>
      </c>
      <c r="U112">
        <v>124.9</v>
      </c>
      <c r="V112">
        <v>123.4</v>
      </c>
      <c r="W112">
        <v>116.9</v>
      </c>
      <c r="X112">
        <v>121.6</v>
      </c>
      <c r="Y112">
        <v>119.1</v>
      </c>
      <c r="Z112">
        <v>114</v>
      </c>
      <c r="AA112">
        <v>126.4</v>
      </c>
      <c r="AB112">
        <v>118.5</v>
      </c>
      <c r="AC112">
        <v>108.9</v>
      </c>
      <c r="AD112">
        <v>116.8</v>
      </c>
      <c r="AE112">
        <v>124.2</v>
      </c>
    </row>
    <row r="113" spans="1:31" x14ac:dyDescent="0.3">
      <c r="A113" t="s">
        <v>27</v>
      </c>
      <c r="B113">
        <v>2016</v>
      </c>
      <c r="C113" t="s">
        <v>31</v>
      </c>
      <c r="D113">
        <f t="shared" si="3"/>
        <v>2</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s="2">
        <f>'Missing values'!V49</f>
        <v>124.4</v>
      </c>
      <c r="W113">
        <v>127.5</v>
      </c>
      <c r="X113">
        <v>127.1</v>
      </c>
      <c r="Y113">
        <v>124.3</v>
      </c>
      <c r="Z113">
        <v>116.8</v>
      </c>
      <c r="AA113">
        <v>127.1</v>
      </c>
      <c r="AB113">
        <v>122.3</v>
      </c>
      <c r="AC113">
        <v>113.9</v>
      </c>
      <c r="AD113">
        <v>120.9</v>
      </c>
      <c r="AE113">
        <v>127.9</v>
      </c>
    </row>
    <row r="114" spans="1:31" x14ac:dyDescent="0.3">
      <c r="A114" t="s">
        <v>30</v>
      </c>
      <c r="B114">
        <v>2016</v>
      </c>
      <c r="C114" t="s">
        <v>31</v>
      </c>
      <c r="D114">
        <f t="shared" si="3"/>
        <v>2</v>
      </c>
      <c r="E114">
        <v>126.4</v>
      </c>
      <c r="F114">
        <v>134.19999999999999</v>
      </c>
      <c r="G114">
        <v>128.69999999999999</v>
      </c>
      <c r="H114">
        <v>130.30000000000001</v>
      </c>
      <c r="I114">
        <v>114.8</v>
      </c>
      <c r="J114">
        <v>124.9</v>
      </c>
      <c r="K114">
        <v>130.30000000000001</v>
      </c>
      <c r="L114">
        <v>167.4</v>
      </c>
      <c r="M114">
        <v>98.8</v>
      </c>
      <c r="N114">
        <v>133.6</v>
      </c>
      <c r="O114">
        <v>123</v>
      </c>
      <c r="P114">
        <v>135.80000000000001</v>
      </c>
      <c r="Q114">
        <v>129.9</v>
      </c>
      <c r="R114">
        <v>135.9</v>
      </c>
      <c r="S114">
        <v>130.9</v>
      </c>
      <c r="T114">
        <v>125.8</v>
      </c>
      <c r="U114">
        <v>130.19999999999999</v>
      </c>
      <c r="V114">
        <v>124.4</v>
      </c>
      <c r="W114">
        <v>123.1</v>
      </c>
      <c r="X114">
        <v>124.6</v>
      </c>
      <c r="Y114">
        <v>122.5</v>
      </c>
      <c r="Z114">
        <v>116.6</v>
      </c>
      <c r="AA114">
        <v>126.6</v>
      </c>
      <c r="AB114">
        <v>120.3</v>
      </c>
      <c r="AC114">
        <v>111.4</v>
      </c>
      <c r="AD114">
        <v>119.1</v>
      </c>
      <c r="AE114">
        <v>126</v>
      </c>
    </row>
    <row r="115" spans="1:31" x14ac:dyDescent="0.3">
      <c r="A115" t="s">
        <v>29</v>
      </c>
      <c r="B115">
        <v>2016</v>
      </c>
      <c r="C115" t="s">
        <v>31</v>
      </c>
      <c r="D115">
        <f t="shared" si="3"/>
        <v>2</v>
      </c>
      <c r="E115">
        <v>124.8</v>
      </c>
      <c r="F115">
        <v>135.1</v>
      </c>
      <c r="G115">
        <v>130.30000000000001</v>
      </c>
      <c r="H115">
        <v>129.6</v>
      </c>
      <c r="I115">
        <v>108.4</v>
      </c>
      <c r="J115">
        <v>118.6</v>
      </c>
      <c r="K115">
        <v>129.19999999999999</v>
      </c>
      <c r="L115">
        <v>176.4</v>
      </c>
      <c r="M115">
        <v>99.1</v>
      </c>
      <c r="N115">
        <v>139.69999999999999</v>
      </c>
      <c r="O115">
        <v>120.6</v>
      </c>
      <c r="P115">
        <v>135.19999999999999</v>
      </c>
      <c r="Q115">
        <v>129.1</v>
      </c>
      <c r="R115">
        <v>140</v>
      </c>
      <c r="S115">
        <v>126.2</v>
      </c>
      <c r="T115">
        <v>120.1</v>
      </c>
      <c r="U115">
        <v>125.3</v>
      </c>
      <c r="V115">
        <v>124.4</v>
      </c>
      <c r="W115">
        <v>116</v>
      </c>
      <c r="X115">
        <v>121.8</v>
      </c>
      <c r="Y115">
        <v>119.5</v>
      </c>
      <c r="Z115">
        <v>116.2</v>
      </c>
      <c r="AA115">
        <v>126.3</v>
      </c>
      <c r="AB115">
        <v>118.8</v>
      </c>
      <c r="AC115">
        <v>109.1</v>
      </c>
      <c r="AD115">
        <v>117.2</v>
      </c>
      <c r="AE115">
        <v>123.8</v>
      </c>
    </row>
    <row r="116" spans="1:31" x14ac:dyDescent="0.3">
      <c r="A116" t="s">
        <v>27</v>
      </c>
      <c r="B116">
        <v>2016</v>
      </c>
      <c r="C116" t="s">
        <v>32</v>
      </c>
      <c r="D116">
        <f t="shared" si="3"/>
        <v>3</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s="2">
        <f>'Missing values'!V82</f>
        <v>124.9</v>
      </c>
      <c r="W116">
        <v>127</v>
      </c>
      <c r="X116">
        <v>127.7</v>
      </c>
      <c r="Y116">
        <v>124.8</v>
      </c>
      <c r="Z116">
        <v>117.4</v>
      </c>
      <c r="AA116">
        <v>127.5</v>
      </c>
      <c r="AB116">
        <v>122.5</v>
      </c>
      <c r="AC116">
        <v>113.6</v>
      </c>
      <c r="AD116">
        <v>121.1</v>
      </c>
      <c r="AE116">
        <v>128</v>
      </c>
    </row>
    <row r="117" spans="1:31" x14ac:dyDescent="0.3">
      <c r="A117" t="s">
        <v>30</v>
      </c>
      <c r="B117">
        <v>2016</v>
      </c>
      <c r="C117" t="s">
        <v>32</v>
      </c>
      <c r="D117">
        <f t="shared" si="3"/>
        <v>3</v>
      </c>
      <c r="E117">
        <v>126.5</v>
      </c>
      <c r="F117">
        <v>135.1</v>
      </c>
      <c r="G117">
        <v>124.6</v>
      </c>
      <c r="H117">
        <v>130.19999999999999</v>
      </c>
      <c r="I117">
        <v>114.5</v>
      </c>
      <c r="J117">
        <v>126.2</v>
      </c>
      <c r="K117">
        <v>129.80000000000001</v>
      </c>
      <c r="L117">
        <v>164.3</v>
      </c>
      <c r="M117">
        <v>100.9</v>
      </c>
      <c r="N117">
        <v>133.9</v>
      </c>
      <c r="O117">
        <v>123.1</v>
      </c>
      <c r="P117">
        <v>136.30000000000001</v>
      </c>
      <c r="Q117">
        <v>129.80000000000001</v>
      </c>
      <c r="R117">
        <v>136.5</v>
      </c>
      <c r="S117">
        <v>131.30000000000001</v>
      </c>
      <c r="T117">
        <v>126.1</v>
      </c>
      <c r="U117">
        <v>130.5</v>
      </c>
      <c r="V117">
        <v>124.9</v>
      </c>
      <c r="W117">
        <v>122.4</v>
      </c>
      <c r="X117">
        <v>125.1</v>
      </c>
      <c r="Y117">
        <v>122.9</v>
      </c>
      <c r="Z117">
        <v>117.3</v>
      </c>
      <c r="AA117">
        <v>126.9</v>
      </c>
      <c r="AB117">
        <v>120.6</v>
      </c>
      <c r="AC117">
        <v>110.9</v>
      </c>
      <c r="AD117">
        <v>119.3</v>
      </c>
      <c r="AE117">
        <v>126</v>
      </c>
    </row>
    <row r="118" spans="1:31" x14ac:dyDescent="0.3">
      <c r="A118" t="s">
        <v>29</v>
      </c>
      <c r="B118">
        <v>2016</v>
      </c>
      <c r="C118" t="s">
        <v>32</v>
      </c>
      <c r="D118">
        <f t="shared" si="3"/>
        <v>3</v>
      </c>
      <c r="E118">
        <v>124.8</v>
      </c>
      <c r="F118">
        <v>136.30000000000001</v>
      </c>
      <c r="G118">
        <v>123.7</v>
      </c>
      <c r="H118">
        <v>129.69999999999999</v>
      </c>
      <c r="I118">
        <v>107.9</v>
      </c>
      <c r="J118">
        <v>119.9</v>
      </c>
      <c r="K118">
        <v>128.1</v>
      </c>
      <c r="L118">
        <v>170.3</v>
      </c>
      <c r="M118">
        <v>101.8</v>
      </c>
      <c r="N118">
        <v>140.1</v>
      </c>
      <c r="O118">
        <v>120.7</v>
      </c>
      <c r="P118">
        <v>135.4</v>
      </c>
      <c r="Q118">
        <v>128.9</v>
      </c>
      <c r="R118">
        <v>140.6</v>
      </c>
      <c r="S118">
        <v>126.4</v>
      </c>
      <c r="T118">
        <v>120.3</v>
      </c>
      <c r="U118">
        <v>125.5</v>
      </c>
      <c r="V118">
        <v>124.9</v>
      </c>
      <c r="W118">
        <v>114.8</v>
      </c>
      <c r="X118">
        <v>122.3</v>
      </c>
      <c r="Y118">
        <v>119.7</v>
      </c>
      <c r="Z118">
        <v>117.1</v>
      </c>
      <c r="AA118">
        <v>126.4</v>
      </c>
      <c r="AB118">
        <v>119.1</v>
      </c>
      <c r="AC118">
        <v>108.5</v>
      </c>
      <c r="AD118">
        <v>117.3</v>
      </c>
      <c r="AE118">
        <v>123.8</v>
      </c>
    </row>
    <row r="119" spans="1:31" x14ac:dyDescent="0.3">
      <c r="A119" t="s">
        <v>27</v>
      </c>
      <c r="B119">
        <v>2016</v>
      </c>
      <c r="C119" t="s">
        <v>33</v>
      </c>
      <c r="D119">
        <f t="shared" si="3"/>
        <v>4</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s="2">
        <f>'Missing values'!V115</f>
        <v>125.6</v>
      </c>
      <c r="W119">
        <v>127</v>
      </c>
      <c r="X119">
        <v>128</v>
      </c>
      <c r="Y119">
        <v>125.2</v>
      </c>
      <c r="Z119">
        <v>118.4</v>
      </c>
      <c r="AA119">
        <v>127.9</v>
      </c>
      <c r="AB119">
        <v>123.2</v>
      </c>
      <c r="AC119">
        <v>114.4</v>
      </c>
      <c r="AD119">
        <v>121.7</v>
      </c>
      <c r="AE119">
        <v>129</v>
      </c>
    </row>
    <row r="120" spans="1:31" x14ac:dyDescent="0.3">
      <c r="A120" t="s">
        <v>30</v>
      </c>
      <c r="B120">
        <v>2016</v>
      </c>
      <c r="C120" t="s">
        <v>33</v>
      </c>
      <c r="D120">
        <f t="shared" si="3"/>
        <v>4</v>
      </c>
      <c r="E120">
        <v>126.6</v>
      </c>
      <c r="F120">
        <v>136.80000000000001</v>
      </c>
      <c r="G120">
        <v>122</v>
      </c>
      <c r="H120">
        <v>130.9</v>
      </c>
      <c r="I120">
        <v>114.8</v>
      </c>
      <c r="J120">
        <v>134.80000000000001</v>
      </c>
      <c r="K120">
        <v>135</v>
      </c>
      <c r="L120">
        <v>167.5</v>
      </c>
      <c r="M120">
        <v>106.4</v>
      </c>
      <c r="N120">
        <v>134.4</v>
      </c>
      <c r="O120">
        <v>123.6</v>
      </c>
      <c r="P120">
        <v>136.69999999999999</v>
      </c>
      <c r="Q120">
        <v>131.80000000000001</v>
      </c>
      <c r="R120">
        <v>137.1</v>
      </c>
      <c r="S120">
        <v>131.80000000000001</v>
      </c>
      <c r="T120">
        <v>126.4</v>
      </c>
      <c r="U120">
        <v>131</v>
      </c>
      <c r="V120">
        <v>125.6</v>
      </c>
      <c r="W120">
        <v>122.3</v>
      </c>
      <c r="X120">
        <v>125.5</v>
      </c>
      <c r="Y120">
        <v>123.2</v>
      </c>
      <c r="Z120">
        <v>118.1</v>
      </c>
      <c r="AA120">
        <v>127.7</v>
      </c>
      <c r="AB120">
        <v>121.1</v>
      </c>
      <c r="AC120">
        <v>112.1</v>
      </c>
      <c r="AD120">
        <v>120</v>
      </c>
      <c r="AE120">
        <v>127.3</v>
      </c>
    </row>
    <row r="121" spans="1:31" x14ac:dyDescent="0.3">
      <c r="A121" t="s">
        <v>29</v>
      </c>
      <c r="B121">
        <v>2016</v>
      </c>
      <c r="C121" t="s">
        <v>33</v>
      </c>
      <c r="D121">
        <f t="shared" si="3"/>
        <v>4</v>
      </c>
      <c r="E121">
        <v>124.9</v>
      </c>
      <c r="F121">
        <v>139.30000000000001</v>
      </c>
      <c r="G121">
        <v>119.9</v>
      </c>
      <c r="H121">
        <v>130.19999999999999</v>
      </c>
      <c r="I121">
        <v>108.9</v>
      </c>
      <c r="J121">
        <v>131.1</v>
      </c>
      <c r="K121">
        <v>136.80000000000001</v>
      </c>
      <c r="L121">
        <v>176.9</v>
      </c>
      <c r="M121">
        <v>109.1</v>
      </c>
      <c r="N121">
        <v>140.4</v>
      </c>
      <c r="O121">
        <v>121.1</v>
      </c>
      <c r="P121">
        <v>135.9</v>
      </c>
      <c r="Q121">
        <v>131.80000000000001</v>
      </c>
      <c r="R121">
        <v>141.5</v>
      </c>
      <c r="S121">
        <v>126.8</v>
      </c>
      <c r="T121">
        <v>120.5</v>
      </c>
      <c r="U121">
        <v>125.8</v>
      </c>
      <c r="V121">
        <v>125.6</v>
      </c>
      <c r="W121">
        <v>114.6</v>
      </c>
      <c r="X121">
        <v>122.8</v>
      </c>
      <c r="Y121">
        <v>120</v>
      </c>
      <c r="Z121">
        <v>117.6</v>
      </c>
      <c r="AA121">
        <v>127.6</v>
      </c>
      <c r="AB121">
        <v>119.5</v>
      </c>
      <c r="AC121">
        <v>110</v>
      </c>
      <c r="AD121">
        <v>118.2</v>
      </c>
      <c r="AE121">
        <v>125.3</v>
      </c>
    </row>
    <row r="122" spans="1:31" x14ac:dyDescent="0.3">
      <c r="A122" t="s">
        <v>27</v>
      </c>
      <c r="B122">
        <v>2016</v>
      </c>
      <c r="C122" t="s">
        <v>34</v>
      </c>
      <c r="D122">
        <f t="shared" si="3"/>
        <v>5</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s="2">
        <f>'Missing values'!V145</f>
        <v>126</v>
      </c>
      <c r="W122">
        <v>127.4</v>
      </c>
      <c r="X122">
        <v>128.5</v>
      </c>
      <c r="Y122">
        <v>125.8</v>
      </c>
      <c r="Z122">
        <v>119.7</v>
      </c>
      <c r="AA122">
        <v>129.1</v>
      </c>
      <c r="AB122">
        <v>123.6</v>
      </c>
      <c r="AC122">
        <v>115.1</v>
      </c>
      <c r="AD122">
        <v>122.5</v>
      </c>
      <c r="AE122">
        <v>130.30000000000001</v>
      </c>
    </row>
    <row r="123" spans="1:31" x14ac:dyDescent="0.3">
      <c r="A123" t="s">
        <v>30</v>
      </c>
      <c r="B123">
        <v>2016</v>
      </c>
      <c r="C123" t="s">
        <v>34</v>
      </c>
      <c r="D123">
        <f t="shared" si="3"/>
        <v>5</v>
      </c>
      <c r="E123">
        <v>126.8</v>
      </c>
      <c r="F123">
        <v>139.1</v>
      </c>
      <c r="G123">
        <v>125.4</v>
      </c>
      <c r="H123">
        <v>131.69999999999999</v>
      </c>
      <c r="I123">
        <v>115</v>
      </c>
      <c r="J123">
        <v>136</v>
      </c>
      <c r="K123">
        <v>145.1</v>
      </c>
      <c r="L123">
        <v>171.7</v>
      </c>
      <c r="M123">
        <v>108.7</v>
      </c>
      <c r="N123">
        <v>135.30000000000001</v>
      </c>
      <c r="O123">
        <v>124.2</v>
      </c>
      <c r="P123">
        <v>137.4</v>
      </c>
      <c r="Q123">
        <v>134</v>
      </c>
      <c r="R123">
        <v>137.69999999999999</v>
      </c>
      <c r="S123">
        <v>132.19999999999999</v>
      </c>
      <c r="T123">
        <v>126.8</v>
      </c>
      <c r="U123">
        <v>131.4</v>
      </c>
      <c r="V123">
        <v>126</v>
      </c>
      <c r="W123">
        <v>122.7</v>
      </c>
      <c r="X123">
        <v>126</v>
      </c>
      <c r="Y123">
        <v>123.7</v>
      </c>
      <c r="Z123">
        <v>119.2</v>
      </c>
      <c r="AA123">
        <v>128.5</v>
      </c>
      <c r="AB123">
        <v>121.5</v>
      </c>
      <c r="AC123">
        <v>112.8</v>
      </c>
      <c r="AD123">
        <v>120.7</v>
      </c>
      <c r="AE123">
        <v>128.6</v>
      </c>
    </row>
    <row r="124" spans="1:31" x14ac:dyDescent="0.3">
      <c r="A124" t="s">
        <v>29</v>
      </c>
      <c r="B124">
        <v>2016</v>
      </c>
      <c r="C124" t="s">
        <v>34</v>
      </c>
      <c r="D124">
        <f t="shared" si="3"/>
        <v>5</v>
      </c>
      <c r="E124">
        <v>125</v>
      </c>
      <c r="F124">
        <v>142.1</v>
      </c>
      <c r="G124">
        <v>127</v>
      </c>
      <c r="H124">
        <v>130.4</v>
      </c>
      <c r="I124">
        <v>109.6</v>
      </c>
      <c r="J124">
        <v>133.5</v>
      </c>
      <c r="K124">
        <v>151.4</v>
      </c>
      <c r="L124">
        <v>182.8</v>
      </c>
      <c r="M124">
        <v>111.1</v>
      </c>
      <c r="N124">
        <v>141.5</v>
      </c>
      <c r="O124">
        <v>121.5</v>
      </c>
      <c r="P124">
        <v>136.30000000000001</v>
      </c>
      <c r="Q124">
        <v>134.6</v>
      </c>
      <c r="R124">
        <v>142.19999999999999</v>
      </c>
      <c r="S124">
        <v>127.2</v>
      </c>
      <c r="T124">
        <v>120.7</v>
      </c>
      <c r="U124">
        <v>126.2</v>
      </c>
      <c r="V124">
        <v>126</v>
      </c>
      <c r="W124">
        <v>115</v>
      </c>
      <c r="X124">
        <v>123.2</v>
      </c>
      <c r="Y124">
        <v>120.3</v>
      </c>
      <c r="Z124">
        <v>118.5</v>
      </c>
      <c r="AA124">
        <v>128</v>
      </c>
      <c r="AB124">
        <v>119.8</v>
      </c>
      <c r="AC124">
        <v>110.7</v>
      </c>
      <c r="AD124">
        <v>118.7</v>
      </c>
      <c r="AE124">
        <v>126.6</v>
      </c>
    </row>
    <row r="125" spans="1:31" x14ac:dyDescent="0.3">
      <c r="A125" t="s">
        <v>27</v>
      </c>
      <c r="B125">
        <v>2016</v>
      </c>
      <c r="C125" t="s">
        <v>35</v>
      </c>
      <c r="D125">
        <f t="shared" si="3"/>
        <v>6</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s="2">
        <f>'Missing values'!V178</f>
        <v>125.5</v>
      </c>
      <c r="W125">
        <v>128</v>
      </c>
      <c r="X125">
        <v>129.30000000000001</v>
      </c>
      <c r="Y125">
        <v>126.2</v>
      </c>
      <c r="Z125">
        <v>119.9</v>
      </c>
      <c r="AA125">
        <v>130.19999999999999</v>
      </c>
      <c r="AB125">
        <v>124.1</v>
      </c>
      <c r="AC125">
        <v>116.3</v>
      </c>
      <c r="AD125">
        <v>123.3</v>
      </c>
      <c r="AE125">
        <v>131.9</v>
      </c>
    </row>
    <row r="126" spans="1:31" x14ac:dyDescent="0.3">
      <c r="A126" t="s">
        <v>30</v>
      </c>
      <c r="B126">
        <v>2016</v>
      </c>
      <c r="C126" t="s">
        <v>35</v>
      </c>
      <c r="D126">
        <f t="shared" si="3"/>
        <v>6</v>
      </c>
      <c r="E126">
        <v>127.7</v>
      </c>
      <c r="F126">
        <v>140.5</v>
      </c>
      <c r="G126">
        <v>128.30000000000001</v>
      </c>
      <c r="H126">
        <v>132.6</v>
      </c>
      <c r="I126">
        <v>115.5</v>
      </c>
      <c r="J126">
        <v>136.5</v>
      </c>
      <c r="K126">
        <v>159.69999999999999</v>
      </c>
      <c r="L126">
        <v>174.3</v>
      </c>
      <c r="M126">
        <v>109.9</v>
      </c>
      <c r="N126">
        <v>136.30000000000001</v>
      </c>
      <c r="O126">
        <v>124.4</v>
      </c>
      <c r="P126">
        <v>138.1</v>
      </c>
      <c r="Q126">
        <v>136.80000000000001</v>
      </c>
      <c r="R126">
        <v>138.69999999999999</v>
      </c>
      <c r="S126">
        <v>132.9</v>
      </c>
      <c r="T126">
        <v>127.2</v>
      </c>
      <c r="U126">
        <v>132</v>
      </c>
      <c r="V126">
        <v>125.5</v>
      </c>
      <c r="W126">
        <v>123.3</v>
      </c>
      <c r="X126">
        <v>126.4</v>
      </c>
      <c r="Y126">
        <v>124.1</v>
      </c>
      <c r="Z126">
        <v>119.4</v>
      </c>
      <c r="AA126">
        <v>129.69999999999999</v>
      </c>
      <c r="AB126">
        <v>121.7</v>
      </c>
      <c r="AC126">
        <v>114.2</v>
      </c>
      <c r="AD126">
        <v>121.5</v>
      </c>
      <c r="AE126">
        <v>130.1</v>
      </c>
    </row>
    <row r="127" spans="1:31" x14ac:dyDescent="0.3">
      <c r="A127" t="s">
        <v>29</v>
      </c>
      <c r="B127">
        <v>2016</v>
      </c>
      <c r="C127" t="s">
        <v>35</v>
      </c>
      <c r="D127">
        <f t="shared" si="3"/>
        <v>6</v>
      </c>
      <c r="E127">
        <v>125.9</v>
      </c>
      <c r="F127">
        <v>143.9</v>
      </c>
      <c r="G127">
        <v>130.9</v>
      </c>
      <c r="H127">
        <v>131</v>
      </c>
      <c r="I127">
        <v>110.2</v>
      </c>
      <c r="J127">
        <v>135.5</v>
      </c>
      <c r="K127">
        <v>173.7</v>
      </c>
      <c r="L127">
        <v>184.4</v>
      </c>
      <c r="M127">
        <v>112</v>
      </c>
      <c r="N127">
        <v>142.80000000000001</v>
      </c>
      <c r="O127">
        <v>121.6</v>
      </c>
      <c r="P127">
        <v>136.9</v>
      </c>
      <c r="Q127">
        <v>138.19999999999999</v>
      </c>
      <c r="R127">
        <v>142.69999999999999</v>
      </c>
      <c r="S127">
        <v>127.6</v>
      </c>
      <c r="T127">
        <v>121.1</v>
      </c>
      <c r="U127">
        <v>126.6</v>
      </c>
      <c r="V127">
        <v>125.5</v>
      </c>
      <c r="W127">
        <v>115.5</v>
      </c>
      <c r="X127">
        <v>123.2</v>
      </c>
      <c r="Y127">
        <v>120.6</v>
      </c>
      <c r="Z127">
        <v>118.8</v>
      </c>
      <c r="AA127">
        <v>129.30000000000001</v>
      </c>
      <c r="AB127">
        <v>119.9</v>
      </c>
      <c r="AC127">
        <v>112.3</v>
      </c>
      <c r="AD127">
        <v>119.6</v>
      </c>
      <c r="AE127">
        <v>128.1</v>
      </c>
    </row>
    <row r="128" spans="1:31" x14ac:dyDescent="0.3">
      <c r="A128" t="s">
        <v>27</v>
      </c>
      <c r="B128">
        <v>2016</v>
      </c>
      <c r="C128" t="s">
        <v>36</v>
      </c>
      <c r="D128">
        <f t="shared" si="3"/>
        <v>7</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s="2">
        <f>'Missing values'!V208</f>
        <v>126.4</v>
      </c>
      <c r="W128">
        <v>128.19999999999999</v>
      </c>
      <c r="X128">
        <v>130</v>
      </c>
      <c r="Y128">
        <v>126.7</v>
      </c>
      <c r="Z128">
        <v>120.9</v>
      </c>
      <c r="AA128">
        <v>130.80000000000001</v>
      </c>
      <c r="AB128">
        <v>125.2</v>
      </c>
      <c r="AC128">
        <v>116.4</v>
      </c>
      <c r="AD128">
        <v>123.8</v>
      </c>
      <c r="AE128">
        <v>133</v>
      </c>
    </row>
    <row r="129" spans="1:31" x14ac:dyDescent="0.3">
      <c r="A129" t="s">
        <v>30</v>
      </c>
      <c r="B129">
        <v>2016</v>
      </c>
      <c r="C129" t="s">
        <v>36</v>
      </c>
      <c r="D129">
        <f t="shared" si="3"/>
        <v>7</v>
      </c>
      <c r="E129">
        <v>128.5</v>
      </c>
      <c r="F129">
        <v>141.19999999999999</v>
      </c>
      <c r="G129">
        <v>132.30000000000001</v>
      </c>
      <c r="H129">
        <v>133.5</v>
      </c>
      <c r="I129">
        <v>116.4</v>
      </c>
      <c r="J129">
        <v>137.80000000000001</v>
      </c>
      <c r="K129">
        <v>165.4</v>
      </c>
      <c r="L129">
        <v>177.4</v>
      </c>
      <c r="M129">
        <v>111.3</v>
      </c>
      <c r="N129">
        <v>137.5</v>
      </c>
      <c r="O129">
        <v>125</v>
      </c>
      <c r="P129">
        <v>138.80000000000001</v>
      </c>
      <c r="Q129">
        <v>138.4</v>
      </c>
      <c r="R129">
        <v>139.30000000000001</v>
      </c>
      <c r="S129">
        <v>133.5</v>
      </c>
      <c r="T129">
        <v>127.6</v>
      </c>
      <c r="U129">
        <v>132.69999999999999</v>
      </c>
      <c r="V129">
        <v>126.4</v>
      </c>
      <c r="W129">
        <v>123.4</v>
      </c>
      <c r="X129">
        <v>126.9</v>
      </c>
      <c r="Y129">
        <v>124.5</v>
      </c>
      <c r="Z129">
        <v>120.5</v>
      </c>
      <c r="AA129">
        <v>130.80000000000001</v>
      </c>
      <c r="AB129">
        <v>122.4</v>
      </c>
      <c r="AC129">
        <v>113.9</v>
      </c>
      <c r="AD129">
        <v>121.9</v>
      </c>
      <c r="AE129">
        <v>131.1</v>
      </c>
    </row>
    <row r="130" spans="1:31" x14ac:dyDescent="0.3">
      <c r="A130" t="s">
        <v>29</v>
      </c>
      <c r="B130">
        <v>2016</v>
      </c>
      <c r="C130" t="s">
        <v>36</v>
      </c>
      <c r="D130">
        <f t="shared" si="3"/>
        <v>7</v>
      </c>
      <c r="E130">
        <v>126.8</v>
      </c>
      <c r="F130">
        <v>144.19999999999999</v>
      </c>
      <c r="G130">
        <v>136.6</v>
      </c>
      <c r="H130">
        <v>131.80000000000001</v>
      </c>
      <c r="I130">
        <v>111</v>
      </c>
      <c r="J130">
        <v>137</v>
      </c>
      <c r="K130">
        <v>179.5</v>
      </c>
      <c r="L130">
        <v>188.4</v>
      </c>
      <c r="M130">
        <v>113.3</v>
      </c>
      <c r="N130">
        <v>143.9</v>
      </c>
      <c r="O130">
        <v>121.7</v>
      </c>
      <c r="P130">
        <v>137.5</v>
      </c>
      <c r="Q130">
        <v>139.80000000000001</v>
      </c>
      <c r="R130">
        <v>142.9</v>
      </c>
      <c r="S130">
        <v>127.9</v>
      </c>
      <c r="T130">
        <v>121.1</v>
      </c>
      <c r="U130">
        <v>126.9</v>
      </c>
      <c r="V130">
        <v>126.4</v>
      </c>
      <c r="W130">
        <v>115.5</v>
      </c>
      <c r="X130">
        <v>123.5</v>
      </c>
      <c r="Y130">
        <v>120.9</v>
      </c>
      <c r="Z130">
        <v>120</v>
      </c>
      <c r="AA130">
        <v>130.80000000000001</v>
      </c>
      <c r="AB130">
        <v>120.3</v>
      </c>
      <c r="AC130">
        <v>111.7</v>
      </c>
      <c r="AD130">
        <v>119.9</v>
      </c>
      <c r="AE130">
        <v>129</v>
      </c>
    </row>
    <row r="131" spans="1:31" x14ac:dyDescent="0.3">
      <c r="A131" t="s">
        <v>27</v>
      </c>
      <c r="B131">
        <v>2016</v>
      </c>
      <c r="C131" t="s">
        <v>37</v>
      </c>
      <c r="D131">
        <f t="shared" si="3"/>
        <v>8</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s="2">
        <f>'Missing values'!V238</f>
        <v>127.3</v>
      </c>
      <c r="W131">
        <v>129.1</v>
      </c>
      <c r="X131">
        <v>130.6</v>
      </c>
      <c r="Y131">
        <v>127</v>
      </c>
      <c r="Z131">
        <v>122</v>
      </c>
      <c r="AA131">
        <v>131.9</v>
      </c>
      <c r="AB131">
        <v>125.5</v>
      </c>
      <c r="AC131">
        <v>116</v>
      </c>
      <c r="AD131">
        <v>124.2</v>
      </c>
      <c r="AE131">
        <v>133.5</v>
      </c>
    </row>
    <row r="132" spans="1:31" x14ac:dyDescent="0.3">
      <c r="A132" t="s">
        <v>30</v>
      </c>
      <c r="B132">
        <v>2016</v>
      </c>
      <c r="C132" t="s">
        <v>37</v>
      </c>
      <c r="D132">
        <f t="shared" si="3"/>
        <v>8</v>
      </c>
      <c r="E132">
        <v>129.30000000000001</v>
      </c>
      <c r="F132">
        <v>139.30000000000001</v>
      </c>
      <c r="G132">
        <v>131.6</v>
      </c>
      <c r="H132">
        <v>134.1</v>
      </c>
      <c r="I132">
        <v>116.9</v>
      </c>
      <c r="J132">
        <v>138.1</v>
      </c>
      <c r="K132">
        <v>159.1</v>
      </c>
      <c r="L132">
        <v>175.6</v>
      </c>
      <c r="M132">
        <v>112.9</v>
      </c>
      <c r="N132">
        <v>138.1</v>
      </c>
      <c r="O132">
        <v>125.5</v>
      </c>
      <c r="P132">
        <v>139.5</v>
      </c>
      <c r="Q132">
        <v>137.9</v>
      </c>
      <c r="R132">
        <v>140.19999999999999</v>
      </c>
      <c r="S132">
        <v>134.1</v>
      </c>
      <c r="T132">
        <v>128.19999999999999</v>
      </c>
      <c r="U132">
        <v>133.19999999999999</v>
      </c>
      <c r="V132">
        <v>127.3</v>
      </c>
      <c r="W132">
        <v>123.6</v>
      </c>
      <c r="X132">
        <v>127.4</v>
      </c>
      <c r="Y132">
        <v>124.8</v>
      </c>
      <c r="Z132">
        <v>121.5</v>
      </c>
      <c r="AA132">
        <v>131.69999999999999</v>
      </c>
      <c r="AB132">
        <v>122.7</v>
      </c>
      <c r="AC132">
        <v>113.1</v>
      </c>
      <c r="AD132">
        <v>122.1</v>
      </c>
      <c r="AE132">
        <v>131.1</v>
      </c>
    </row>
    <row r="133" spans="1:31" x14ac:dyDescent="0.3">
      <c r="A133" t="s">
        <v>29</v>
      </c>
      <c r="B133">
        <v>2016</v>
      </c>
      <c r="C133" t="s">
        <v>37</v>
      </c>
      <c r="D133">
        <f t="shared" si="3"/>
        <v>8</v>
      </c>
      <c r="E133">
        <v>127.6</v>
      </c>
      <c r="F133">
        <v>140.30000000000001</v>
      </c>
      <c r="G133">
        <v>133.69999999999999</v>
      </c>
      <c r="H133">
        <v>132.19999999999999</v>
      </c>
      <c r="I133">
        <v>111.8</v>
      </c>
      <c r="J133">
        <v>135.80000000000001</v>
      </c>
      <c r="K133">
        <v>163.5</v>
      </c>
      <c r="L133">
        <v>182.3</v>
      </c>
      <c r="M133">
        <v>114.6</v>
      </c>
      <c r="N133">
        <v>144.6</v>
      </c>
      <c r="O133">
        <v>121.9</v>
      </c>
      <c r="P133">
        <v>138.1</v>
      </c>
      <c r="Q133">
        <v>137.6</v>
      </c>
      <c r="R133">
        <v>143.6</v>
      </c>
      <c r="S133">
        <v>128.30000000000001</v>
      </c>
      <c r="T133">
        <v>121.4</v>
      </c>
      <c r="U133">
        <v>127.3</v>
      </c>
      <c r="V133">
        <v>127.3</v>
      </c>
      <c r="W133">
        <v>114.7</v>
      </c>
      <c r="X133">
        <v>123.9</v>
      </c>
      <c r="Y133">
        <v>121.2</v>
      </c>
      <c r="Z133">
        <v>120.9</v>
      </c>
      <c r="AA133">
        <v>131.5</v>
      </c>
      <c r="AB133">
        <v>120.6</v>
      </c>
      <c r="AC133">
        <v>110.4</v>
      </c>
      <c r="AD133">
        <v>119.9</v>
      </c>
      <c r="AE133">
        <v>128.4</v>
      </c>
    </row>
    <row r="134" spans="1:31" x14ac:dyDescent="0.3">
      <c r="A134" t="s">
        <v>27</v>
      </c>
      <c r="B134">
        <v>2016</v>
      </c>
      <c r="C134" t="s">
        <v>38</v>
      </c>
      <c r="D134">
        <f t="shared" si="3"/>
        <v>9</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s="2">
        <f>'Missing values'!V268</f>
        <v>127.9</v>
      </c>
      <c r="W134">
        <v>129.69999999999999</v>
      </c>
      <c r="X134">
        <v>131.1</v>
      </c>
      <c r="Y134">
        <v>127.8</v>
      </c>
      <c r="Z134">
        <v>122.8</v>
      </c>
      <c r="AA134">
        <v>132.19999999999999</v>
      </c>
      <c r="AB134">
        <v>125.7</v>
      </c>
      <c r="AC134">
        <v>117</v>
      </c>
      <c r="AD134">
        <v>124.9</v>
      </c>
      <c r="AE134">
        <v>133.4</v>
      </c>
    </row>
    <row r="135" spans="1:31" x14ac:dyDescent="0.3">
      <c r="A135" t="s">
        <v>30</v>
      </c>
      <c r="B135">
        <v>2016</v>
      </c>
      <c r="C135" t="s">
        <v>38</v>
      </c>
      <c r="D135">
        <f t="shared" si="3"/>
        <v>9</v>
      </c>
      <c r="E135">
        <v>129.9</v>
      </c>
      <c r="F135">
        <v>138</v>
      </c>
      <c r="G135">
        <v>130.5</v>
      </c>
      <c r="H135">
        <v>134.4</v>
      </c>
      <c r="I135">
        <v>117.2</v>
      </c>
      <c r="J135">
        <v>136.1</v>
      </c>
      <c r="K135">
        <v>150.69999999999999</v>
      </c>
      <c r="L135">
        <v>171.5</v>
      </c>
      <c r="M135">
        <v>113.8</v>
      </c>
      <c r="N135">
        <v>138.80000000000001</v>
      </c>
      <c r="O135">
        <v>126</v>
      </c>
      <c r="P135">
        <v>140.19999999999999</v>
      </c>
      <c r="Q135">
        <v>136.6</v>
      </c>
      <c r="R135">
        <v>141</v>
      </c>
      <c r="S135">
        <v>134.6</v>
      </c>
      <c r="T135">
        <v>128.6</v>
      </c>
      <c r="U135">
        <v>133.80000000000001</v>
      </c>
      <c r="V135">
        <v>127.9</v>
      </c>
      <c r="W135">
        <v>124.1</v>
      </c>
      <c r="X135">
        <v>127.9</v>
      </c>
      <c r="Y135">
        <v>125.4</v>
      </c>
      <c r="Z135">
        <v>122.1</v>
      </c>
      <c r="AA135">
        <v>131.80000000000001</v>
      </c>
      <c r="AB135">
        <v>122.9</v>
      </c>
      <c r="AC135">
        <v>114.3</v>
      </c>
      <c r="AD135">
        <v>122.8</v>
      </c>
      <c r="AE135">
        <v>130.9</v>
      </c>
    </row>
    <row r="136" spans="1:31" x14ac:dyDescent="0.3">
      <c r="A136" t="s">
        <v>29</v>
      </c>
      <c r="B136">
        <v>2016</v>
      </c>
      <c r="C136" t="s">
        <v>38</v>
      </c>
      <c r="D136">
        <f t="shared" si="3"/>
        <v>9</v>
      </c>
      <c r="E136">
        <v>128.1</v>
      </c>
      <c r="F136">
        <v>137.69999999999999</v>
      </c>
      <c r="G136">
        <v>130.6</v>
      </c>
      <c r="H136">
        <v>132.6</v>
      </c>
      <c r="I136">
        <v>111.9</v>
      </c>
      <c r="J136">
        <v>132.5</v>
      </c>
      <c r="K136">
        <v>152.9</v>
      </c>
      <c r="L136">
        <v>173.6</v>
      </c>
      <c r="M136">
        <v>115.1</v>
      </c>
      <c r="N136">
        <v>144.80000000000001</v>
      </c>
      <c r="O136">
        <v>122.1</v>
      </c>
      <c r="P136">
        <v>138.80000000000001</v>
      </c>
      <c r="Q136">
        <v>135.69999999999999</v>
      </c>
      <c r="R136">
        <v>143.9</v>
      </c>
      <c r="S136">
        <v>128.69999999999999</v>
      </c>
      <c r="T136">
        <v>121.6</v>
      </c>
      <c r="U136">
        <v>127.7</v>
      </c>
      <c r="V136">
        <v>127.9</v>
      </c>
      <c r="W136">
        <v>114.8</v>
      </c>
      <c r="X136">
        <v>124.3</v>
      </c>
      <c r="Y136">
        <v>121.4</v>
      </c>
      <c r="Z136">
        <v>121.2</v>
      </c>
      <c r="AA136">
        <v>131.6</v>
      </c>
      <c r="AB136">
        <v>120.8</v>
      </c>
      <c r="AC136">
        <v>111.8</v>
      </c>
      <c r="AD136">
        <v>120.5</v>
      </c>
      <c r="AE136">
        <v>128</v>
      </c>
    </row>
    <row r="137" spans="1:31" x14ac:dyDescent="0.3">
      <c r="A137" t="s">
        <v>27</v>
      </c>
      <c r="B137">
        <v>2016</v>
      </c>
      <c r="C137" t="s">
        <v>39</v>
      </c>
      <c r="D137">
        <f t="shared" si="3"/>
        <v>10</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s="2">
        <f>'Missing values'!V298</f>
        <v>128.69999999999999</v>
      </c>
      <c r="W137">
        <v>129.80000000000001</v>
      </c>
      <c r="X137">
        <v>131.80000000000001</v>
      </c>
      <c r="Y137">
        <v>128.69999999999999</v>
      </c>
      <c r="Z137">
        <v>123</v>
      </c>
      <c r="AA137">
        <v>133</v>
      </c>
      <c r="AB137">
        <v>126.5</v>
      </c>
      <c r="AC137">
        <v>117.8</v>
      </c>
      <c r="AD137">
        <v>125.7</v>
      </c>
      <c r="AE137">
        <v>133.80000000000001</v>
      </c>
    </row>
    <row r="138" spans="1:31" x14ac:dyDescent="0.3">
      <c r="A138" t="s">
        <v>30</v>
      </c>
      <c r="B138">
        <v>2016</v>
      </c>
      <c r="C138" t="s">
        <v>39</v>
      </c>
      <c r="D138">
        <f t="shared" si="3"/>
        <v>10</v>
      </c>
      <c r="E138">
        <v>130.5</v>
      </c>
      <c r="F138">
        <v>137.9</v>
      </c>
      <c r="G138">
        <v>130.19999999999999</v>
      </c>
      <c r="H138">
        <v>134.80000000000001</v>
      </c>
      <c r="I138">
        <v>117.8</v>
      </c>
      <c r="J138">
        <v>134.69999999999999</v>
      </c>
      <c r="K138">
        <v>151.19999999999999</v>
      </c>
      <c r="L138">
        <v>172.1</v>
      </c>
      <c r="M138">
        <v>114.1</v>
      </c>
      <c r="N138">
        <v>139.30000000000001</v>
      </c>
      <c r="O138">
        <v>126.1</v>
      </c>
      <c r="P138">
        <v>141.1</v>
      </c>
      <c r="Q138">
        <v>137</v>
      </c>
      <c r="R138">
        <v>141.80000000000001</v>
      </c>
      <c r="S138">
        <v>135.5</v>
      </c>
      <c r="T138">
        <v>129.1</v>
      </c>
      <c r="U138">
        <v>134.5</v>
      </c>
      <c r="V138">
        <v>128.69999999999999</v>
      </c>
      <c r="W138">
        <v>124.3</v>
      </c>
      <c r="X138">
        <v>128.4</v>
      </c>
      <c r="Y138">
        <v>126.1</v>
      </c>
      <c r="Z138">
        <v>122.1</v>
      </c>
      <c r="AA138">
        <v>132.4</v>
      </c>
      <c r="AB138">
        <v>123.5</v>
      </c>
      <c r="AC138">
        <v>115.2</v>
      </c>
      <c r="AD138">
        <v>123.4</v>
      </c>
      <c r="AE138">
        <v>131.4</v>
      </c>
    </row>
    <row r="139" spans="1:31" x14ac:dyDescent="0.3">
      <c r="A139" t="s">
        <v>29</v>
      </c>
      <c r="B139">
        <v>2016</v>
      </c>
      <c r="C139" t="s">
        <v>39</v>
      </c>
      <c r="D139">
        <f t="shared" si="3"/>
        <v>10</v>
      </c>
      <c r="E139">
        <v>128.69999999999999</v>
      </c>
      <c r="F139">
        <v>138.4</v>
      </c>
      <c r="G139">
        <v>130.30000000000001</v>
      </c>
      <c r="H139">
        <v>132.69999999999999</v>
      </c>
      <c r="I139">
        <v>112.5</v>
      </c>
      <c r="J139">
        <v>130.4</v>
      </c>
      <c r="K139">
        <v>155.1</v>
      </c>
      <c r="L139">
        <v>175.7</v>
      </c>
      <c r="M139">
        <v>115.4</v>
      </c>
      <c r="N139">
        <v>145.30000000000001</v>
      </c>
      <c r="O139">
        <v>122.5</v>
      </c>
      <c r="P139">
        <v>139.6</v>
      </c>
      <c r="Q139">
        <v>136.30000000000001</v>
      </c>
      <c r="R139">
        <v>144.30000000000001</v>
      </c>
      <c r="S139">
        <v>129.1</v>
      </c>
      <c r="T139">
        <v>121.9</v>
      </c>
      <c r="U139">
        <v>128</v>
      </c>
      <c r="V139">
        <v>128.69999999999999</v>
      </c>
      <c r="W139">
        <v>115.2</v>
      </c>
      <c r="X139">
        <v>124.5</v>
      </c>
      <c r="Y139">
        <v>121.8</v>
      </c>
      <c r="Z139">
        <v>120.8</v>
      </c>
      <c r="AA139">
        <v>131.9</v>
      </c>
      <c r="AB139">
        <v>121.2</v>
      </c>
      <c r="AC139">
        <v>112.8</v>
      </c>
      <c r="AD139">
        <v>120.9</v>
      </c>
      <c r="AE139">
        <v>128.6</v>
      </c>
    </row>
    <row r="140" spans="1:31" x14ac:dyDescent="0.3">
      <c r="A140" t="s">
        <v>27</v>
      </c>
      <c r="B140">
        <v>2016</v>
      </c>
      <c r="C140" t="s">
        <v>41</v>
      </c>
      <c r="D140">
        <f t="shared" si="3"/>
        <v>11</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s="2">
        <f>'Missing values'!V328</f>
        <v>129.1</v>
      </c>
      <c r="W140">
        <v>130.30000000000001</v>
      </c>
      <c r="X140">
        <v>132.1</v>
      </c>
      <c r="Y140">
        <v>129.1</v>
      </c>
      <c r="Z140">
        <v>123.5</v>
      </c>
      <c r="AA140">
        <v>133.69999999999999</v>
      </c>
      <c r="AB140">
        <v>126.9</v>
      </c>
      <c r="AC140">
        <v>118.2</v>
      </c>
      <c r="AD140">
        <v>126.1</v>
      </c>
      <c r="AE140">
        <v>133.6</v>
      </c>
    </row>
    <row r="141" spans="1:31" x14ac:dyDescent="0.3">
      <c r="A141" t="s">
        <v>30</v>
      </c>
      <c r="B141">
        <v>2016</v>
      </c>
      <c r="C141" t="s">
        <v>41</v>
      </c>
      <c r="D141">
        <f t="shared" si="3"/>
        <v>11</v>
      </c>
      <c r="E141">
        <v>131.4</v>
      </c>
      <c r="F141">
        <v>137.80000000000001</v>
      </c>
      <c r="G141">
        <v>132</v>
      </c>
      <c r="H141">
        <v>135</v>
      </c>
      <c r="I141">
        <v>118</v>
      </c>
      <c r="J141">
        <v>134.1</v>
      </c>
      <c r="K141">
        <v>141.9</v>
      </c>
      <c r="L141">
        <v>171.7</v>
      </c>
      <c r="M141">
        <v>114.1</v>
      </c>
      <c r="N141">
        <v>139.69999999999999</v>
      </c>
      <c r="O141">
        <v>126.2</v>
      </c>
      <c r="P141">
        <v>141.80000000000001</v>
      </c>
      <c r="Q141">
        <v>136.1</v>
      </c>
      <c r="R141">
        <v>142</v>
      </c>
      <c r="S141">
        <v>135.80000000000001</v>
      </c>
      <c r="T141">
        <v>129.30000000000001</v>
      </c>
      <c r="U141">
        <v>135</v>
      </c>
      <c r="V141">
        <v>129.1</v>
      </c>
      <c r="W141">
        <v>125</v>
      </c>
      <c r="X141">
        <v>128.6</v>
      </c>
      <c r="Y141">
        <v>126.4</v>
      </c>
      <c r="Z141">
        <v>122.6</v>
      </c>
      <c r="AA141">
        <v>132.80000000000001</v>
      </c>
      <c r="AB141">
        <v>124</v>
      </c>
      <c r="AC141">
        <v>115.7</v>
      </c>
      <c r="AD141">
        <v>123.8</v>
      </c>
      <c r="AE141">
        <v>131.19999999999999</v>
      </c>
    </row>
    <row r="142" spans="1:31" x14ac:dyDescent="0.3">
      <c r="A142" t="s">
        <v>29</v>
      </c>
      <c r="B142">
        <v>2016</v>
      </c>
      <c r="C142" t="s">
        <v>41</v>
      </c>
      <c r="D142">
        <f t="shared" si="3"/>
        <v>11</v>
      </c>
      <c r="E142">
        <v>130.19999999999999</v>
      </c>
      <c r="F142">
        <v>138.5</v>
      </c>
      <c r="G142">
        <v>134.1</v>
      </c>
      <c r="H142">
        <v>132.9</v>
      </c>
      <c r="I142">
        <v>112.6</v>
      </c>
      <c r="J142">
        <v>130.80000000000001</v>
      </c>
      <c r="K142">
        <v>142</v>
      </c>
      <c r="L142">
        <v>174.9</v>
      </c>
      <c r="M142">
        <v>115.6</v>
      </c>
      <c r="N142">
        <v>145.4</v>
      </c>
      <c r="O142">
        <v>122.7</v>
      </c>
      <c r="P142">
        <v>140.30000000000001</v>
      </c>
      <c r="Q142">
        <v>135.19999999999999</v>
      </c>
      <c r="R142">
        <v>144.30000000000001</v>
      </c>
      <c r="S142">
        <v>129.6</v>
      </c>
      <c r="T142">
        <v>122.1</v>
      </c>
      <c r="U142">
        <v>128.5</v>
      </c>
      <c r="V142">
        <v>129.1</v>
      </c>
      <c r="W142">
        <v>116.2</v>
      </c>
      <c r="X142">
        <v>124.7</v>
      </c>
      <c r="Y142">
        <v>122.1</v>
      </c>
      <c r="Z142">
        <v>121.3</v>
      </c>
      <c r="AA142">
        <v>132.1</v>
      </c>
      <c r="AB142">
        <v>121.7</v>
      </c>
      <c r="AC142">
        <v>113.4</v>
      </c>
      <c r="AD142">
        <v>121.3</v>
      </c>
      <c r="AE142">
        <v>128.5</v>
      </c>
    </row>
    <row r="143" spans="1:31" x14ac:dyDescent="0.3">
      <c r="A143" t="s">
        <v>27</v>
      </c>
      <c r="B143">
        <v>2016</v>
      </c>
      <c r="C143" t="s">
        <v>42</v>
      </c>
      <c r="D143">
        <f t="shared" si="3"/>
        <v>12</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s="2">
        <f>'Missing values'!V358</f>
        <v>128.5</v>
      </c>
      <c r="W143">
        <v>132</v>
      </c>
      <c r="X143">
        <v>132.9</v>
      </c>
      <c r="Y143">
        <v>129.69999999999999</v>
      </c>
      <c r="Z143">
        <v>121.9</v>
      </c>
      <c r="AA143">
        <v>134.19999999999999</v>
      </c>
      <c r="AB143">
        <v>127.3</v>
      </c>
      <c r="AC143">
        <v>118.6</v>
      </c>
      <c r="AD143">
        <v>126.3</v>
      </c>
      <c r="AE143">
        <v>132.80000000000001</v>
      </c>
    </row>
    <row r="144" spans="1:31" x14ac:dyDescent="0.3">
      <c r="A144" t="s">
        <v>30</v>
      </c>
      <c r="B144">
        <v>2016</v>
      </c>
      <c r="C144" t="s">
        <v>42</v>
      </c>
      <c r="D144">
        <f t="shared" si="3"/>
        <v>12</v>
      </c>
      <c r="E144">
        <v>132.30000000000001</v>
      </c>
      <c r="F144">
        <v>137.6</v>
      </c>
      <c r="G144">
        <v>132.9</v>
      </c>
      <c r="H144">
        <v>135.1</v>
      </c>
      <c r="I144">
        <v>118.6</v>
      </c>
      <c r="J144">
        <v>132.69999999999999</v>
      </c>
      <c r="K144">
        <v>125.3</v>
      </c>
      <c r="L144">
        <v>168.7</v>
      </c>
      <c r="M144">
        <v>114.4</v>
      </c>
      <c r="N144">
        <v>140.19999999999999</v>
      </c>
      <c r="O144">
        <v>126.6</v>
      </c>
      <c r="P144">
        <v>142.30000000000001</v>
      </c>
      <c r="Q144">
        <v>134</v>
      </c>
      <c r="R144">
        <v>143.1</v>
      </c>
      <c r="S144">
        <v>136.30000000000001</v>
      </c>
      <c r="T144">
        <v>129.80000000000001</v>
      </c>
      <c r="U144">
        <v>135.4</v>
      </c>
      <c r="V144">
        <v>128.5</v>
      </c>
      <c r="W144">
        <v>126.6</v>
      </c>
      <c r="X144">
        <v>129.19999999999999</v>
      </c>
      <c r="Y144">
        <v>126.9</v>
      </c>
      <c r="Z144">
        <v>121.1</v>
      </c>
      <c r="AA144">
        <v>133.1</v>
      </c>
      <c r="AB144">
        <v>124.2</v>
      </c>
      <c r="AC144">
        <v>116</v>
      </c>
      <c r="AD144">
        <v>123.9</v>
      </c>
      <c r="AE144">
        <v>130.4</v>
      </c>
    </row>
    <row r="145" spans="1:31" x14ac:dyDescent="0.3">
      <c r="A145" t="s">
        <v>29</v>
      </c>
      <c r="B145">
        <v>2016</v>
      </c>
      <c r="C145" t="s">
        <v>42</v>
      </c>
      <c r="D145">
        <f t="shared" si="3"/>
        <v>12</v>
      </c>
      <c r="E145">
        <v>131.6</v>
      </c>
      <c r="F145">
        <v>138.19999999999999</v>
      </c>
      <c r="G145">
        <v>134.9</v>
      </c>
      <c r="H145">
        <v>133.1</v>
      </c>
      <c r="I145">
        <v>113.5</v>
      </c>
      <c r="J145">
        <v>129.30000000000001</v>
      </c>
      <c r="K145">
        <v>121.1</v>
      </c>
      <c r="L145">
        <v>170.3</v>
      </c>
      <c r="M145">
        <v>115.5</v>
      </c>
      <c r="N145">
        <v>145.5</v>
      </c>
      <c r="O145">
        <v>123.1</v>
      </c>
      <c r="P145">
        <v>140.9</v>
      </c>
      <c r="Q145">
        <v>132.80000000000001</v>
      </c>
      <c r="R145">
        <v>145</v>
      </c>
      <c r="S145">
        <v>130</v>
      </c>
      <c r="T145">
        <v>122.2</v>
      </c>
      <c r="U145">
        <v>128.80000000000001</v>
      </c>
      <c r="V145">
        <v>128.5</v>
      </c>
      <c r="W145">
        <v>117.8</v>
      </c>
      <c r="X145">
        <v>125</v>
      </c>
      <c r="Y145">
        <v>122.3</v>
      </c>
      <c r="Z145">
        <v>119.9</v>
      </c>
      <c r="AA145">
        <v>132.30000000000001</v>
      </c>
      <c r="AB145">
        <v>121.8</v>
      </c>
      <c r="AC145">
        <v>113.7</v>
      </c>
      <c r="AD145">
        <v>121.4</v>
      </c>
      <c r="AE145">
        <v>127.6</v>
      </c>
    </row>
    <row r="146" spans="1:31" x14ac:dyDescent="0.3">
      <c r="A146" t="s">
        <v>27</v>
      </c>
      <c r="B146">
        <v>2017</v>
      </c>
      <c r="C146" t="s">
        <v>28</v>
      </c>
      <c r="D146">
        <f t="shared" si="3"/>
        <v>1</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s="2">
        <f>'Missing values'!V19</f>
        <v>129.6</v>
      </c>
      <c r="W146">
        <v>132.1</v>
      </c>
      <c r="X146">
        <v>133.19999999999999</v>
      </c>
      <c r="Y146">
        <v>129.9</v>
      </c>
      <c r="Z146">
        <v>122.3</v>
      </c>
      <c r="AA146">
        <v>134.6</v>
      </c>
      <c r="AB146">
        <v>127</v>
      </c>
      <c r="AC146">
        <v>119.1</v>
      </c>
      <c r="AD146">
        <v>126.6</v>
      </c>
      <c r="AE146">
        <v>132.4</v>
      </c>
    </row>
    <row r="147" spans="1:31" x14ac:dyDescent="0.3">
      <c r="A147" t="s">
        <v>30</v>
      </c>
      <c r="B147">
        <v>2017</v>
      </c>
      <c r="C147" t="s">
        <v>28</v>
      </c>
      <c r="D147">
        <f t="shared" si="3"/>
        <v>1</v>
      </c>
      <c r="E147">
        <v>132.80000000000001</v>
      </c>
      <c r="F147">
        <v>138.19999999999999</v>
      </c>
      <c r="G147">
        <v>132.19999999999999</v>
      </c>
      <c r="H147">
        <v>135.4</v>
      </c>
      <c r="I147">
        <v>119.1</v>
      </c>
      <c r="J147">
        <v>133</v>
      </c>
      <c r="K147">
        <v>119.4</v>
      </c>
      <c r="L147">
        <v>159.5</v>
      </c>
      <c r="M147">
        <v>115.6</v>
      </c>
      <c r="N147">
        <v>139.6</v>
      </c>
      <c r="O147">
        <v>126.6</v>
      </c>
      <c r="P147">
        <v>142.80000000000001</v>
      </c>
      <c r="Q147">
        <v>133.1</v>
      </c>
      <c r="R147">
        <v>143.80000000000001</v>
      </c>
      <c r="S147">
        <v>136.6</v>
      </c>
      <c r="T147">
        <v>130.19999999999999</v>
      </c>
      <c r="U147">
        <v>135.6</v>
      </c>
      <c r="V147">
        <v>129.6</v>
      </c>
      <c r="W147">
        <v>126.8</v>
      </c>
      <c r="X147">
        <v>129.4</v>
      </c>
      <c r="Y147">
        <v>127.1</v>
      </c>
      <c r="Z147">
        <v>121.7</v>
      </c>
      <c r="AA147">
        <v>133.30000000000001</v>
      </c>
      <c r="AB147">
        <v>124.2</v>
      </c>
      <c r="AC147">
        <v>117</v>
      </c>
      <c r="AD147">
        <v>124.4</v>
      </c>
      <c r="AE147">
        <v>130.30000000000001</v>
      </c>
    </row>
    <row r="148" spans="1:31" x14ac:dyDescent="0.3">
      <c r="A148" t="s">
        <v>29</v>
      </c>
      <c r="B148">
        <v>2017</v>
      </c>
      <c r="C148" t="s">
        <v>28</v>
      </c>
      <c r="D148">
        <f t="shared" si="3"/>
        <v>1</v>
      </c>
      <c r="E148">
        <v>132.19999999999999</v>
      </c>
      <c r="F148">
        <v>138.9</v>
      </c>
      <c r="G148">
        <v>132.6</v>
      </c>
      <c r="H148">
        <v>133.1</v>
      </c>
      <c r="I148">
        <v>114</v>
      </c>
      <c r="J148">
        <v>129.6</v>
      </c>
      <c r="K148">
        <v>118.7</v>
      </c>
      <c r="L148">
        <v>155.1</v>
      </c>
      <c r="M148">
        <v>117.3</v>
      </c>
      <c r="N148">
        <v>144.9</v>
      </c>
      <c r="O148">
        <v>123.2</v>
      </c>
      <c r="P148">
        <v>141.6</v>
      </c>
      <c r="Q148">
        <v>132</v>
      </c>
      <c r="R148">
        <v>145.6</v>
      </c>
      <c r="S148">
        <v>130.19999999999999</v>
      </c>
      <c r="T148">
        <v>122.3</v>
      </c>
      <c r="U148">
        <v>129</v>
      </c>
      <c r="V148">
        <v>129.6</v>
      </c>
      <c r="W148">
        <v>118</v>
      </c>
      <c r="X148">
        <v>125.1</v>
      </c>
      <c r="Y148">
        <v>122.6</v>
      </c>
      <c r="Z148">
        <v>120.9</v>
      </c>
      <c r="AA148">
        <v>132.4</v>
      </c>
      <c r="AB148">
        <v>122</v>
      </c>
      <c r="AC148">
        <v>115.2</v>
      </c>
      <c r="AD148">
        <v>122.1</v>
      </c>
      <c r="AE148">
        <v>127.8</v>
      </c>
    </row>
    <row r="149" spans="1:31" x14ac:dyDescent="0.3">
      <c r="A149" t="s">
        <v>27</v>
      </c>
      <c r="B149">
        <v>2017</v>
      </c>
      <c r="C149" t="s">
        <v>31</v>
      </c>
      <c r="D149">
        <f t="shared" si="3"/>
        <v>2</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s="2">
        <f>'Missing values'!V52</f>
        <v>130.5</v>
      </c>
      <c r="W149">
        <v>133.19999999999999</v>
      </c>
      <c r="X149">
        <v>133.6</v>
      </c>
      <c r="Y149">
        <v>130.1</v>
      </c>
      <c r="Z149">
        <v>123.2</v>
      </c>
      <c r="AA149">
        <v>134.9</v>
      </c>
      <c r="AB149">
        <v>127.7</v>
      </c>
      <c r="AC149">
        <v>119.5</v>
      </c>
      <c r="AD149">
        <v>127</v>
      </c>
      <c r="AE149">
        <v>132.6</v>
      </c>
    </row>
    <row r="150" spans="1:31" x14ac:dyDescent="0.3">
      <c r="A150" t="s">
        <v>30</v>
      </c>
      <c r="B150">
        <v>2017</v>
      </c>
      <c r="C150" t="s">
        <v>31</v>
      </c>
      <c r="D150">
        <f t="shared" si="3"/>
        <v>2</v>
      </c>
      <c r="E150">
        <v>133.1</v>
      </c>
      <c r="F150">
        <v>138.80000000000001</v>
      </c>
      <c r="G150">
        <v>129.30000000000001</v>
      </c>
      <c r="H150">
        <v>135.80000000000001</v>
      </c>
      <c r="I150">
        <v>119.2</v>
      </c>
      <c r="J150">
        <v>135.30000000000001</v>
      </c>
      <c r="K150">
        <v>119.5</v>
      </c>
      <c r="L150">
        <v>152.19999999999999</v>
      </c>
      <c r="M150">
        <v>117.3</v>
      </c>
      <c r="N150">
        <v>138.69999999999999</v>
      </c>
      <c r="O150">
        <v>126.9</v>
      </c>
      <c r="P150">
        <v>143.19999999999999</v>
      </c>
      <c r="Q150">
        <v>133</v>
      </c>
      <c r="R150">
        <v>144.4</v>
      </c>
      <c r="S150">
        <v>136.80000000000001</v>
      </c>
      <c r="T150">
        <v>130.30000000000001</v>
      </c>
      <c r="U150">
        <v>135.9</v>
      </c>
      <c r="V150">
        <v>130.5</v>
      </c>
      <c r="W150">
        <v>127.9</v>
      </c>
      <c r="X150">
        <v>129.69999999999999</v>
      </c>
      <c r="Y150">
        <v>127.4</v>
      </c>
      <c r="Z150">
        <v>122.6</v>
      </c>
      <c r="AA150">
        <v>133.4</v>
      </c>
      <c r="AB150">
        <v>124.6</v>
      </c>
      <c r="AC150">
        <v>117.4</v>
      </c>
      <c r="AD150">
        <v>124.8</v>
      </c>
      <c r="AE150">
        <v>130.6</v>
      </c>
    </row>
    <row r="151" spans="1:31" x14ac:dyDescent="0.3">
      <c r="A151" t="s">
        <v>29</v>
      </c>
      <c r="B151">
        <v>2017</v>
      </c>
      <c r="C151" t="s">
        <v>31</v>
      </c>
      <c r="D151">
        <f t="shared" si="3"/>
        <v>2</v>
      </c>
      <c r="E151">
        <v>132.80000000000001</v>
      </c>
      <c r="F151">
        <v>139.80000000000001</v>
      </c>
      <c r="G151">
        <v>129.30000000000001</v>
      </c>
      <c r="H151">
        <v>133.5</v>
      </c>
      <c r="I151">
        <v>114.3</v>
      </c>
      <c r="J151">
        <v>131.4</v>
      </c>
      <c r="K151">
        <v>120.2</v>
      </c>
      <c r="L151">
        <v>143.1</v>
      </c>
      <c r="M151">
        <v>119.5</v>
      </c>
      <c r="N151">
        <v>144</v>
      </c>
      <c r="O151">
        <v>123.4</v>
      </c>
      <c r="P151">
        <v>141.9</v>
      </c>
      <c r="Q151">
        <v>132.1</v>
      </c>
      <c r="R151">
        <v>146.30000000000001</v>
      </c>
      <c r="S151">
        <v>130.5</v>
      </c>
      <c r="T151">
        <v>122.5</v>
      </c>
      <c r="U151">
        <v>129.30000000000001</v>
      </c>
      <c r="V151">
        <v>130.5</v>
      </c>
      <c r="W151">
        <v>119.2</v>
      </c>
      <c r="X151">
        <v>125.3</v>
      </c>
      <c r="Y151">
        <v>122.9</v>
      </c>
      <c r="Z151">
        <v>121.7</v>
      </c>
      <c r="AA151">
        <v>132.4</v>
      </c>
      <c r="AB151">
        <v>122.2</v>
      </c>
      <c r="AC151">
        <v>115.5</v>
      </c>
      <c r="AD151">
        <v>122.4</v>
      </c>
      <c r="AE151">
        <v>128.19999999999999</v>
      </c>
    </row>
    <row r="152" spans="1:31" x14ac:dyDescent="0.3">
      <c r="A152" t="s">
        <v>27</v>
      </c>
      <c r="B152">
        <v>2017</v>
      </c>
      <c r="C152" t="s">
        <v>32</v>
      </c>
      <c r="D152">
        <f t="shared" si="3"/>
        <v>3</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s="2">
        <f>'Missing values'!V85</f>
        <v>131.1</v>
      </c>
      <c r="W152">
        <v>134.19999999999999</v>
      </c>
      <c r="X152">
        <v>134.1</v>
      </c>
      <c r="Y152">
        <v>130.6</v>
      </c>
      <c r="Z152">
        <v>123.3</v>
      </c>
      <c r="AA152">
        <v>135.19999999999999</v>
      </c>
      <c r="AB152">
        <v>128.30000000000001</v>
      </c>
      <c r="AC152">
        <v>119.8</v>
      </c>
      <c r="AD152">
        <v>127.4</v>
      </c>
      <c r="AE152">
        <v>132.80000000000001</v>
      </c>
    </row>
    <row r="153" spans="1:31" x14ac:dyDescent="0.3">
      <c r="A153" t="s">
        <v>30</v>
      </c>
      <c r="B153">
        <v>2017</v>
      </c>
      <c r="C153" t="s">
        <v>32</v>
      </c>
      <c r="D153">
        <f t="shared" si="3"/>
        <v>3</v>
      </c>
      <c r="E153">
        <v>133.30000000000001</v>
      </c>
      <c r="F153">
        <v>139</v>
      </c>
      <c r="G153">
        <v>128.6</v>
      </c>
      <c r="H153">
        <v>136.30000000000001</v>
      </c>
      <c r="I153">
        <v>118.8</v>
      </c>
      <c r="J153">
        <v>138.30000000000001</v>
      </c>
      <c r="K153">
        <v>120.5</v>
      </c>
      <c r="L153">
        <v>143.9</v>
      </c>
      <c r="M153">
        <v>118</v>
      </c>
      <c r="N153">
        <v>137.9</v>
      </c>
      <c r="O153">
        <v>127.2</v>
      </c>
      <c r="P153">
        <v>144</v>
      </c>
      <c r="Q153">
        <v>133.1</v>
      </c>
      <c r="R153">
        <v>145.1</v>
      </c>
      <c r="S153">
        <v>137.30000000000001</v>
      </c>
      <c r="T153">
        <v>130.6</v>
      </c>
      <c r="U153">
        <v>136.4</v>
      </c>
      <c r="V153">
        <v>131.1</v>
      </c>
      <c r="W153">
        <v>129.1</v>
      </c>
      <c r="X153">
        <v>130.1</v>
      </c>
      <c r="Y153">
        <v>127.8</v>
      </c>
      <c r="Z153">
        <v>122.6</v>
      </c>
      <c r="AA153">
        <v>133.80000000000001</v>
      </c>
      <c r="AB153">
        <v>125</v>
      </c>
      <c r="AC153">
        <v>117.6</v>
      </c>
      <c r="AD153">
        <v>125.1</v>
      </c>
      <c r="AE153">
        <v>130.9</v>
      </c>
    </row>
    <row r="154" spans="1:31" x14ac:dyDescent="0.3">
      <c r="A154" t="s">
        <v>29</v>
      </c>
      <c r="B154">
        <v>2017</v>
      </c>
      <c r="C154" t="s">
        <v>32</v>
      </c>
      <c r="D154">
        <f t="shared" si="3"/>
        <v>3</v>
      </c>
      <c r="E154">
        <v>132.69999999999999</v>
      </c>
      <c r="F154">
        <v>139.4</v>
      </c>
      <c r="G154">
        <v>128.4</v>
      </c>
      <c r="H154">
        <v>134.9</v>
      </c>
      <c r="I154">
        <v>114</v>
      </c>
      <c r="J154">
        <v>136.80000000000001</v>
      </c>
      <c r="K154">
        <v>122.2</v>
      </c>
      <c r="L154">
        <v>135.80000000000001</v>
      </c>
      <c r="M154">
        <v>120.3</v>
      </c>
      <c r="N154">
        <v>142.6</v>
      </c>
      <c r="O154">
        <v>123.6</v>
      </c>
      <c r="P154">
        <v>142.4</v>
      </c>
      <c r="Q154">
        <v>132.6</v>
      </c>
      <c r="R154">
        <v>147.5</v>
      </c>
      <c r="S154">
        <v>130.80000000000001</v>
      </c>
      <c r="T154">
        <v>122.8</v>
      </c>
      <c r="U154">
        <v>129.6</v>
      </c>
      <c r="V154">
        <v>131.1</v>
      </c>
      <c r="W154">
        <v>120.8</v>
      </c>
      <c r="X154">
        <v>125.6</v>
      </c>
      <c r="Y154">
        <v>123.1</v>
      </c>
      <c r="Z154">
        <v>121.7</v>
      </c>
      <c r="AA154">
        <v>132.80000000000001</v>
      </c>
      <c r="AB154">
        <v>122.4</v>
      </c>
      <c r="AC154">
        <v>115.6</v>
      </c>
      <c r="AD154">
        <v>122.6</v>
      </c>
      <c r="AE154">
        <v>128.69999999999999</v>
      </c>
    </row>
    <row r="155" spans="1:31" x14ac:dyDescent="0.3">
      <c r="A155" t="s">
        <v>27</v>
      </c>
      <c r="B155">
        <v>2017</v>
      </c>
      <c r="C155" t="s">
        <v>33</v>
      </c>
      <c r="D155">
        <f t="shared" si="3"/>
        <v>4</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s="2">
        <f>'Missing values'!V118</f>
        <v>131.69999999999999</v>
      </c>
      <c r="W155">
        <v>135</v>
      </c>
      <c r="X155">
        <v>134.30000000000001</v>
      </c>
      <c r="Y155">
        <v>131</v>
      </c>
      <c r="Z155">
        <v>123.7</v>
      </c>
      <c r="AA155">
        <v>135.69999999999999</v>
      </c>
      <c r="AB155">
        <v>128.30000000000001</v>
      </c>
      <c r="AC155">
        <v>119.2</v>
      </c>
      <c r="AD155">
        <v>127.5</v>
      </c>
      <c r="AE155">
        <v>132.9</v>
      </c>
    </row>
    <row r="156" spans="1:31" x14ac:dyDescent="0.3">
      <c r="A156" t="s">
        <v>30</v>
      </c>
      <c r="B156">
        <v>2017</v>
      </c>
      <c r="C156" t="s">
        <v>33</v>
      </c>
      <c r="D156">
        <f t="shared" si="3"/>
        <v>4</v>
      </c>
      <c r="E156">
        <v>133</v>
      </c>
      <c r="F156">
        <v>139.4</v>
      </c>
      <c r="G156">
        <v>126.1</v>
      </c>
      <c r="H156">
        <v>137.19999999999999</v>
      </c>
      <c r="I156">
        <v>118.4</v>
      </c>
      <c r="J156">
        <v>139.9</v>
      </c>
      <c r="K156">
        <v>123.4</v>
      </c>
      <c r="L156">
        <v>140.9</v>
      </c>
      <c r="M156">
        <v>118.5</v>
      </c>
      <c r="N156">
        <v>136.5</v>
      </c>
      <c r="O156">
        <v>127.4</v>
      </c>
      <c r="P156">
        <v>144.19999999999999</v>
      </c>
      <c r="Q156">
        <v>133.5</v>
      </c>
      <c r="R156">
        <v>145.4</v>
      </c>
      <c r="S156">
        <v>138</v>
      </c>
      <c r="T156">
        <v>131.1</v>
      </c>
      <c r="U156">
        <v>137</v>
      </c>
      <c r="V156">
        <v>131.69999999999999</v>
      </c>
      <c r="W156">
        <v>129.80000000000001</v>
      </c>
      <c r="X156">
        <v>130.4</v>
      </c>
      <c r="Y156">
        <v>128.1</v>
      </c>
      <c r="Z156">
        <v>123.1</v>
      </c>
      <c r="AA156">
        <v>134.5</v>
      </c>
      <c r="AB156">
        <v>125.1</v>
      </c>
      <c r="AC156">
        <v>116.6</v>
      </c>
      <c r="AD156">
        <v>125.1</v>
      </c>
      <c r="AE156">
        <v>131.1</v>
      </c>
    </row>
    <row r="157" spans="1:31" x14ac:dyDescent="0.3">
      <c r="A157" t="s">
        <v>29</v>
      </c>
      <c r="B157">
        <v>2017</v>
      </c>
      <c r="C157" t="s">
        <v>33</v>
      </c>
      <c r="D157">
        <f t="shared" si="3"/>
        <v>4</v>
      </c>
      <c r="E157">
        <v>132.69999999999999</v>
      </c>
      <c r="F157">
        <v>140.6</v>
      </c>
      <c r="G157">
        <v>124.5</v>
      </c>
      <c r="H157">
        <v>136.30000000000001</v>
      </c>
      <c r="I157">
        <v>113.5</v>
      </c>
      <c r="J157">
        <v>137.69999999999999</v>
      </c>
      <c r="K157">
        <v>127.1</v>
      </c>
      <c r="L157">
        <v>133.80000000000001</v>
      </c>
      <c r="M157">
        <v>120.8</v>
      </c>
      <c r="N157">
        <v>141.30000000000001</v>
      </c>
      <c r="O157">
        <v>123.8</v>
      </c>
      <c r="P157">
        <v>142.6</v>
      </c>
      <c r="Q157">
        <v>133.4</v>
      </c>
      <c r="R157">
        <v>148</v>
      </c>
      <c r="S157">
        <v>131.19999999999999</v>
      </c>
      <c r="T157">
        <v>123</v>
      </c>
      <c r="U157">
        <v>130</v>
      </c>
      <c r="V157">
        <v>131.69999999999999</v>
      </c>
      <c r="W157">
        <v>121.4</v>
      </c>
      <c r="X157">
        <v>126</v>
      </c>
      <c r="Y157">
        <v>123.4</v>
      </c>
      <c r="Z157">
        <v>122.2</v>
      </c>
      <c r="AA157">
        <v>133.6</v>
      </c>
      <c r="AB157">
        <v>122.6</v>
      </c>
      <c r="AC157">
        <v>114.3</v>
      </c>
      <c r="AD157">
        <v>122.5</v>
      </c>
      <c r="AE157">
        <v>129.1</v>
      </c>
    </row>
    <row r="158" spans="1:31" x14ac:dyDescent="0.3">
      <c r="A158" t="s">
        <v>27</v>
      </c>
      <c r="B158">
        <v>2017</v>
      </c>
      <c r="C158" t="s">
        <v>34</v>
      </c>
      <c r="D158">
        <f t="shared" si="3"/>
        <v>5</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s="2">
        <f>'Missing values'!V148</f>
        <v>132.1</v>
      </c>
      <c r="W158">
        <v>135</v>
      </c>
      <c r="X158">
        <v>134.9</v>
      </c>
      <c r="Y158">
        <v>131.4</v>
      </c>
      <c r="Z158">
        <v>123.7</v>
      </c>
      <c r="AA158">
        <v>136.30000000000001</v>
      </c>
      <c r="AB158">
        <v>129.4</v>
      </c>
      <c r="AC158">
        <v>119.4</v>
      </c>
      <c r="AD158">
        <v>127.9</v>
      </c>
      <c r="AE158">
        <v>133.30000000000001</v>
      </c>
    </row>
    <row r="159" spans="1:31" x14ac:dyDescent="0.3">
      <c r="A159" t="s">
        <v>30</v>
      </c>
      <c r="B159">
        <v>2017</v>
      </c>
      <c r="C159" t="s">
        <v>34</v>
      </c>
      <c r="D159">
        <f t="shared" si="3"/>
        <v>5</v>
      </c>
      <c r="E159">
        <v>132.9</v>
      </c>
      <c r="F159">
        <v>141.6</v>
      </c>
      <c r="G159">
        <v>126.3</v>
      </c>
      <c r="H159">
        <v>137.69999999999999</v>
      </c>
      <c r="I159">
        <v>118.1</v>
      </c>
      <c r="J159">
        <v>137.9</v>
      </c>
      <c r="K159">
        <v>125.6</v>
      </c>
      <c r="L159">
        <v>138.30000000000001</v>
      </c>
      <c r="M159">
        <v>119.4</v>
      </c>
      <c r="N159">
        <v>136</v>
      </c>
      <c r="O159">
        <v>127.6</v>
      </c>
      <c r="P159">
        <v>144.5</v>
      </c>
      <c r="Q159">
        <v>133.69999999999999</v>
      </c>
      <c r="R159">
        <v>146.19999999999999</v>
      </c>
      <c r="S159">
        <v>138.19999999999999</v>
      </c>
      <c r="T159">
        <v>131.4</v>
      </c>
      <c r="U159">
        <v>137.19999999999999</v>
      </c>
      <c r="V159">
        <v>132.1</v>
      </c>
      <c r="W159">
        <v>129.4</v>
      </c>
      <c r="X159">
        <v>130.9</v>
      </c>
      <c r="Y159">
        <v>128.4</v>
      </c>
      <c r="Z159">
        <v>123</v>
      </c>
      <c r="AA159">
        <v>134.80000000000001</v>
      </c>
      <c r="AB159">
        <v>125.7</v>
      </c>
      <c r="AC159">
        <v>116.7</v>
      </c>
      <c r="AD159">
        <v>125.3</v>
      </c>
      <c r="AE159">
        <v>131.4</v>
      </c>
    </row>
    <row r="160" spans="1:31" x14ac:dyDescent="0.3">
      <c r="A160" t="s">
        <v>29</v>
      </c>
      <c r="B160">
        <v>2017</v>
      </c>
      <c r="C160" t="s">
        <v>34</v>
      </c>
      <c r="D160">
        <f t="shared" si="3"/>
        <v>5</v>
      </c>
      <c r="E160">
        <v>132.6</v>
      </c>
      <c r="F160">
        <v>144.1</v>
      </c>
      <c r="G160">
        <v>125.6</v>
      </c>
      <c r="H160">
        <v>136.80000000000001</v>
      </c>
      <c r="I160">
        <v>113.4</v>
      </c>
      <c r="J160">
        <v>135.19999999999999</v>
      </c>
      <c r="K160">
        <v>129.19999999999999</v>
      </c>
      <c r="L160">
        <v>131.5</v>
      </c>
      <c r="M160">
        <v>121</v>
      </c>
      <c r="N160">
        <v>139.9</v>
      </c>
      <c r="O160">
        <v>123.8</v>
      </c>
      <c r="P160">
        <v>142.9</v>
      </c>
      <c r="Q160">
        <v>133.6</v>
      </c>
      <c r="R160">
        <v>148.30000000000001</v>
      </c>
      <c r="S160">
        <v>131.5</v>
      </c>
      <c r="T160">
        <v>123.2</v>
      </c>
      <c r="U160">
        <v>130.19999999999999</v>
      </c>
      <c r="V160">
        <v>132.1</v>
      </c>
      <c r="W160">
        <v>120.1</v>
      </c>
      <c r="X160">
        <v>126.5</v>
      </c>
      <c r="Y160">
        <v>123.6</v>
      </c>
      <c r="Z160">
        <v>122</v>
      </c>
      <c r="AA160">
        <v>133.80000000000001</v>
      </c>
      <c r="AB160">
        <v>122.8</v>
      </c>
      <c r="AC160">
        <v>114.3</v>
      </c>
      <c r="AD160">
        <v>122.6</v>
      </c>
      <c r="AE160">
        <v>129.30000000000001</v>
      </c>
    </row>
    <row r="161" spans="1:31" x14ac:dyDescent="0.3">
      <c r="A161" t="s">
        <v>27</v>
      </c>
      <c r="B161">
        <v>2017</v>
      </c>
      <c r="C161" t="s">
        <v>35</v>
      </c>
      <c r="D161">
        <f t="shared" si="3"/>
        <v>6</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s="2">
        <f>'Missing values'!V181</f>
        <v>131.4</v>
      </c>
      <c r="W161">
        <v>134.80000000000001</v>
      </c>
      <c r="X161">
        <v>135.19999999999999</v>
      </c>
      <c r="Y161">
        <v>131.30000000000001</v>
      </c>
      <c r="Z161">
        <v>124.1</v>
      </c>
      <c r="AA161">
        <v>136.9</v>
      </c>
      <c r="AB161">
        <v>129.80000000000001</v>
      </c>
      <c r="AC161">
        <v>119.4</v>
      </c>
      <c r="AD161">
        <v>128.1</v>
      </c>
      <c r="AE161">
        <v>133.9</v>
      </c>
    </row>
    <row r="162" spans="1:31" x14ac:dyDescent="0.3">
      <c r="A162" t="s">
        <v>30</v>
      </c>
      <c r="B162">
        <v>2017</v>
      </c>
      <c r="C162" t="s">
        <v>35</v>
      </c>
      <c r="D162">
        <f t="shared" si="3"/>
        <v>6</v>
      </c>
      <c r="E162">
        <v>133.30000000000001</v>
      </c>
      <c r="F162">
        <v>145.5</v>
      </c>
      <c r="G162">
        <v>128.1</v>
      </c>
      <c r="H162">
        <v>138.1</v>
      </c>
      <c r="I162">
        <v>118.2</v>
      </c>
      <c r="J162">
        <v>139.19999999999999</v>
      </c>
      <c r="K162">
        <v>133.30000000000001</v>
      </c>
      <c r="L162">
        <v>136.19999999999999</v>
      </c>
      <c r="M162">
        <v>119.6</v>
      </c>
      <c r="N162">
        <v>135.30000000000001</v>
      </c>
      <c r="O162">
        <v>127.8</v>
      </c>
      <c r="P162">
        <v>144.9</v>
      </c>
      <c r="Q162">
        <v>135.19999999999999</v>
      </c>
      <c r="R162">
        <v>146.5</v>
      </c>
      <c r="S162">
        <v>138.5</v>
      </c>
      <c r="T162">
        <v>131.69999999999999</v>
      </c>
      <c r="U162">
        <v>137.5</v>
      </c>
      <c r="V162">
        <v>131.4</v>
      </c>
      <c r="W162">
        <v>128.80000000000001</v>
      </c>
      <c r="X162">
        <v>131.19999999999999</v>
      </c>
      <c r="Y162">
        <v>128.5</v>
      </c>
      <c r="Z162">
        <v>123.4</v>
      </c>
      <c r="AA162">
        <v>135.4</v>
      </c>
      <c r="AB162">
        <v>125.9</v>
      </c>
      <c r="AC162">
        <v>116.5</v>
      </c>
      <c r="AD162">
        <v>125.5</v>
      </c>
      <c r="AE162">
        <v>132</v>
      </c>
    </row>
    <row r="163" spans="1:31" x14ac:dyDescent="0.3">
      <c r="A163" t="s">
        <v>29</v>
      </c>
      <c r="B163">
        <v>2017</v>
      </c>
      <c r="C163" t="s">
        <v>35</v>
      </c>
      <c r="D163">
        <f t="shared" si="3"/>
        <v>6</v>
      </c>
      <c r="E163">
        <v>132.9</v>
      </c>
      <c r="F163">
        <v>148.69999999999999</v>
      </c>
      <c r="G163">
        <v>128.30000000000001</v>
      </c>
      <c r="H163">
        <v>137.30000000000001</v>
      </c>
      <c r="I163">
        <v>113.5</v>
      </c>
      <c r="J163">
        <v>137.19999999999999</v>
      </c>
      <c r="K163">
        <v>142.19999999999999</v>
      </c>
      <c r="L163">
        <v>128.19999999999999</v>
      </c>
      <c r="M163">
        <v>120.9</v>
      </c>
      <c r="N163">
        <v>138.80000000000001</v>
      </c>
      <c r="O163">
        <v>124.2</v>
      </c>
      <c r="P163">
        <v>143.1</v>
      </c>
      <c r="Q163">
        <v>135.69999999999999</v>
      </c>
      <c r="R163">
        <v>148.6</v>
      </c>
      <c r="S163">
        <v>131.5</v>
      </c>
      <c r="T163">
        <v>123.2</v>
      </c>
      <c r="U163">
        <v>130.19999999999999</v>
      </c>
      <c r="V163">
        <v>131.4</v>
      </c>
      <c r="W163">
        <v>119</v>
      </c>
      <c r="X163">
        <v>126.8</v>
      </c>
      <c r="Y163">
        <v>123.8</v>
      </c>
      <c r="Z163">
        <v>122.5</v>
      </c>
      <c r="AA163">
        <v>134.30000000000001</v>
      </c>
      <c r="AB163">
        <v>122.9</v>
      </c>
      <c r="AC163">
        <v>113.9</v>
      </c>
      <c r="AD163">
        <v>122.7</v>
      </c>
      <c r="AE163">
        <v>129.9</v>
      </c>
    </row>
    <row r="164" spans="1:31" x14ac:dyDescent="0.3">
      <c r="A164" t="s">
        <v>27</v>
      </c>
      <c r="B164">
        <v>2017</v>
      </c>
      <c r="C164" t="s">
        <v>36</v>
      </c>
      <c r="D164">
        <f t="shared" si="3"/>
        <v>7</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s="2">
        <f>'Missing values'!V211</f>
        <v>132.6</v>
      </c>
      <c r="W164">
        <v>135.30000000000001</v>
      </c>
      <c r="X164">
        <v>136.1</v>
      </c>
      <c r="Y164">
        <v>132.1</v>
      </c>
      <c r="Z164">
        <v>124.4</v>
      </c>
      <c r="AA164">
        <v>138.6</v>
      </c>
      <c r="AB164">
        <v>130.6</v>
      </c>
      <c r="AC164">
        <v>119.1</v>
      </c>
      <c r="AD164">
        <v>128.6</v>
      </c>
      <c r="AE164">
        <v>136.19999999999999</v>
      </c>
    </row>
    <row r="165" spans="1:31" x14ac:dyDescent="0.3">
      <c r="A165" t="s">
        <v>30</v>
      </c>
      <c r="B165">
        <v>2017</v>
      </c>
      <c r="C165" t="s">
        <v>36</v>
      </c>
      <c r="D165">
        <f t="shared" si="3"/>
        <v>7</v>
      </c>
      <c r="E165">
        <v>133.6</v>
      </c>
      <c r="F165">
        <v>145.69999999999999</v>
      </c>
      <c r="G165">
        <v>129.6</v>
      </c>
      <c r="H165">
        <v>138.5</v>
      </c>
      <c r="I165">
        <v>118.1</v>
      </c>
      <c r="J165">
        <v>141.80000000000001</v>
      </c>
      <c r="K165">
        <v>159.5</v>
      </c>
      <c r="L165">
        <v>133.6</v>
      </c>
      <c r="M165">
        <v>120.5</v>
      </c>
      <c r="N165">
        <v>135.19999999999999</v>
      </c>
      <c r="O165">
        <v>128.5</v>
      </c>
      <c r="P165">
        <v>145.80000000000001</v>
      </c>
      <c r="Q165">
        <v>139</v>
      </c>
      <c r="R165">
        <v>148.19999999999999</v>
      </c>
      <c r="S165">
        <v>139.30000000000001</v>
      </c>
      <c r="T165">
        <v>132.1</v>
      </c>
      <c r="U165">
        <v>138.30000000000001</v>
      </c>
      <c r="V165">
        <v>132.6</v>
      </c>
      <c r="W165">
        <v>129.4</v>
      </c>
      <c r="X165">
        <v>131.9</v>
      </c>
      <c r="Y165">
        <v>129.4</v>
      </c>
      <c r="Z165">
        <v>123.6</v>
      </c>
      <c r="AA165">
        <v>136.80000000000001</v>
      </c>
      <c r="AB165">
        <v>126.6</v>
      </c>
      <c r="AC165">
        <v>116</v>
      </c>
      <c r="AD165">
        <v>125.9</v>
      </c>
      <c r="AE165">
        <v>134.19999999999999</v>
      </c>
    </row>
    <row r="166" spans="1:31" x14ac:dyDescent="0.3">
      <c r="A166" t="s">
        <v>29</v>
      </c>
      <c r="B166">
        <v>2017</v>
      </c>
      <c r="C166" t="s">
        <v>36</v>
      </c>
      <c r="D166">
        <f t="shared" si="3"/>
        <v>7</v>
      </c>
      <c r="E166">
        <v>132.80000000000001</v>
      </c>
      <c r="F166">
        <v>148.4</v>
      </c>
      <c r="G166">
        <v>129.4</v>
      </c>
      <c r="H166">
        <v>137.69999999999999</v>
      </c>
      <c r="I166">
        <v>113.4</v>
      </c>
      <c r="J166">
        <v>139.4</v>
      </c>
      <c r="K166">
        <v>175.1</v>
      </c>
      <c r="L166">
        <v>124.7</v>
      </c>
      <c r="M166">
        <v>121.5</v>
      </c>
      <c r="N166">
        <v>137.80000000000001</v>
      </c>
      <c r="O166">
        <v>124.4</v>
      </c>
      <c r="P166">
        <v>143.69999999999999</v>
      </c>
      <c r="Q166">
        <v>139.80000000000001</v>
      </c>
      <c r="R166">
        <v>150.5</v>
      </c>
      <c r="S166">
        <v>131.6</v>
      </c>
      <c r="T166">
        <v>123.7</v>
      </c>
      <c r="U166">
        <v>130.4</v>
      </c>
      <c r="V166">
        <v>132.6</v>
      </c>
      <c r="W166">
        <v>119.7</v>
      </c>
      <c r="X166">
        <v>127.2</v>
      </c>
      <c r="Y166">
        <v>125</v>
      </c>
      <c r="Z166">
        <v>122.4</v>
      </c>
      <c r="AA166">
        <v>135.5</v>
      </c>
      <c r="AB166">
        <v>123.5</v>
      </c>
      <c r="AC166">
        <v>113.2</v>
      </c>
      <c r="AD166">
        <v>123</v>
      </c>
      <c r="AE166">
        <v>131.80000000000001</v>
      </c>
    </row>
    <row r="167" spans="1:31" x14ac:dyDescent="0.3">
      <c r="A167" t="s">
        <v>27</v>
      </c>
      <c r="B167">
        <v>2017</v>
      </c>
      <c r="C167" t="s">
        <v>37</v>
      </c>
      <c r="D167">
        <f t="shared" si="3"/>
        <v>8</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s="2">
        <f>'Missing values'!V241</f>
        <v>134.4</v>
      </c>
      <c r="W167">
        <v>136.4</v>
      </c>
      <c r="X167">
        <v>137.30000000000001</v>
      </c>
      <c r="Y167">
        <v>133</v>
      </c>
      <c r="Z167">
        <v>125.4</v>
      </c>
      <c r="AA167">
        <v>140.19999999999999</v>
      </c>
      <c r="AB167">
        <v>131.5</v>
      </c>
      <c r="AC167">
        <v>120.3</v>
      </c>
      <c r="AD167">
        <v>129.69999999999999</v>
      </c>
      <c r="AE167">
        <v>137.80000000000001</v>
      </c>
    </row>
    <row r="168" spans="1:31" x14ac:dyDescent="0.3">
      <c r="A168" t="s">
        <v>30</v>
      </c>
      <c r="B168">
        <v>2017</v>
      </c>
      <c r="C168" t="s">
        <v>37</v>
      </c>
      <c r="D168">
        <f t="shared" si="3"/>
        <v>8</v>
      </c>
      <c r="E168">
        <v>134.30000000000001</v>
      </c>
      <c r="F168">
        <v>143.4</v>
      </c>
      <c r="G168">
        <v>129.30000000000001</v>
      </c>
      <c r="H168">
        <v>139</v>
      </c>
      <c r="I168">
        <v>118.1</v>
      </c>
      <c r="J168">
        <v>145.5</v>
      </c>
      <c r="K168">
        <v>168.6</v>
      </c>
      <c r="L168">
        <v>132.69999999999999</v>
      </c>
      <c r="M168">
        <v>121.2</v>
      </c>
      <c r="N168">
        <v>135.6</v>
      </c>
      <c r="O168">
        <v>128.69999999999999</v>
      </c>
      <c r="P168">
        <v>146.80000000000001</v>
      </c>
      <c r="Q168">
        <v>140.6</v>
      </c>
      <c r="R168">
        <v>149.80000000000001</v>
      </c>
      <c r="S168">
        <v>140.30000000000001</v>
      </c>
      <c r="T168">
        <v>133</v>
      </c>
      <c r="U168">
        <v>139.30000000000001</v>
      </c>
      <c r="V168">
        <v>134.4</v>
      </c>
      <c r="W168">
        <v>129.80000000000001</v>
      </c>
      <c r="X168">
        <v>132.80000000000001</v>
      </c>
      <c r="Y168">
        <v>130.19999999999999</v>
      </c>
      <c r="Z168">
        <v>124.5</v>
      </c>
      <c r="AA168">
        <v>137.6</v>
      </c>
      <c r="AB168">
        <v>127.3</v>
      </c>
      <c r="AC168">
        <v>117.3</v>
      </c>
      <c r="AD168">
        <v>126.8</v>
      </c>
      <c r="AE168">
        <v>135.4</v>
      </c>
    </row>
    <row r="169" spans="1:31" x14ac:dyDescent="0.3">
      <c r="A169" t="s">
        <v>29</v>
      </c>
      <c r="B169">
        <v>2017</v>
      </c>
      <c r="C169" t="s">
        <v>37</v>
      </c>
      <c r="D169">
        <f t="shared" si="3"/>
        <v>8</v>
      </c>
      <c r="E169">
        <v>133.19999999999999</v>
      </c>
      <c r="F169">
        <v>143.9</v>
      </c>
      <c r="G169">
        <v>128.30000000000001</v>
      </c>
      <c r="H169">
        <v>138.30000000000001</v>
      </c>
      <c r="I169">
        <v>114.1</v>
      </c>
      <c r="J169">
        <v>142.69999999999999</v>
      </c>
      <c r="K169">
        <v>179.8</v>
      </c>
      <c r="L169">
        <v>123.5</v>
      </c>
      <c r="M169">
        <v>122.1</v>
      </c>
      <c r="N169">
        <v>137.5</v>
      </c>
      <c r="O169">
        <v>124.6</v>
      </c>
      <c r="P169">
        <v>144.5</v>
      </c>
      <c r="Q169">
        <v>140.5</v>
      </c>
      <c r="R169">
        <v>152.1</v>
      </c>
      <c r="S169">
        <v>132.69999999999999</v>
      </c>
      <c r="T169">
        <v>124.3</v>
      </c>
      <c r="U169">
        <v>131.4</v>
      </c>
      <c r="V169">
        <v>134.4</v>
      </c>
      <c r="W169">
        <v>118.9</v>
      </c>
      <c r="X169">
        <v>127.7</v>
      </c>
      <c r="Y169">
        <v>125.7</v>
      </c>
      <c r="Z169">
        <v>123.3</v>
      </c>
      <c r="AA169">
        <v>135.69999999999999</v>
      </c>
      <c r="AB169">
        <v>124.1</v>
      </c>
      <c r="AC169">
        <v>114.6</v>
      </c>
      <c r="AD169">
        <v>123.8</v>
      </c>
      <c r="AE169">
        <v>132.69999999999999</v>
      </c>
    </row>
    <row r="170" spans="1:31" x14ac:dyDescent="0.3">
      <c r="A170" t="s">
        <v>27</v>
      </c>
      <c r="B170">
        <v>2017</v>
      </c>
      <c r="C170" t="s">
        <v>38</v>
      </c>
      <c r="D170">
        <f t="shared" si="3"/>
        <v>9</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s="2">
        <f>'Missing values'!V271</f>
        <v>135.69999999999999</v>
      </c>
      <c r="W170">
        <v>137.4</v>
      </c>
      <c r="X170">
        <v>137.9</v>
      </c>
      <c r="Y170">
        <v>133.4</v>
      </c>
      <c r="Z170">
        <v>126.7</v>
      </c>
      <c r="AA170">
        <v>139.6</v>
      </c>
      <c r="AB170">
        <v>132.30000000000001</v>
      </c>
      <c r="AC170">
        <v>121.2</v>
      </c>
      <c r="AD170">
        <v>130.30000000000001</v>
      </c>
      <c r="AE170">
        <v>137.6</v>
      </c>
    </row>
    <row r="171" spans="1:31" x14ac:dyDescent="0.3">
      <c r="A171" t="s">
        <v>30</v>
      </c>
      <c r="B171">
        <v>2017</v>
      </c>
      <c r="C171" t="s">
        <v>38</v>
      </c>
      <c r="D171">
        <f t="shared" si="3"/>
        <v>9</v>
      </c>
      <c r="E171">
        <v>134.69999999999999</v>
      </c>
      <c r="F171">
        <v>142.4</v>
      </c>
      <c r="G171">
        <v>130.19999999999999</v>
      </c>
      <c r="H171">
        <v>139.6</v>
      </c>
      <c r="I171">
        <v>118.4</v>
      </c>
      <c r="J171">
        <v>143</v>
      </c>
      <c r="K171">
        <v>156.6</v>
      </c>
      <c r="L171">
        <v>132.9</v>
      </c>
      <c r="M171">
        <v>121.5</v>
      </c>
      <c r="N171">
        <v>135.6</v>
      </c>
      <c r="O171">
        <v>128.80000000000001</v>
      </c>
      <c r="P171">
        <v>147.30000000000001</v>
      </c>
      <c r="Q171">
        <v>139</v>
      </c>
      <c r="R171">
        <v>150.80000000000001</v>
      </c>
      <c r="S171">
        <v>141.1</v>
      </c>
      <c r="T171">
        <v>133.4</v>
      </c>
      <c r="U171">
        <v>140</v>
      </c>
      <c r="V171">
        <v>135.69999999999999</v>
      </c>
      <c r="W171">
        <v>131</v>
      </c>
      <c r="X171">
        <v>133.30000000000001</v>
      </c>
      <c r="Y171">
        <v>130.6</v>
      </c>
      <c r="Z171">
        <v>125.7</v>
      </c>
      <c r="AA171">
        <v>137.4</v>
      </c>
      <c r="AB171">
        <v>127.9</v>
      </c>
      <c r="AC171">
        <v>118.3</v>
      </c>
      <c r="AD171">
        <v>127.5</v>
      </c>
      <c r="AE171">
        <v>135.19999999999999</v>
      </c>
    </row>
    <row r="172" spans="1:31" x14ac:dyDescent="0.3">
      <c r="A172" t="s">
        <v>29</v>
      </c>
      <c r="B172">
        <v>2017</v>
      </c>
      <c r="C172" t="s">
        <v>38</v>
      </c>
      <c r="D172">
        <f t="shared" si="3"/>
        <v>9</v>
      </c>
      <c r="E172">
        <v>133.6</v>
      </c>
      <c r="F172">
        <v>143</v>
      </c>
      <c r="G172">
        <v>129.69999999999999</v>
      </c>
      <c r="H172">
        <v>138.69999999999999</v>
      </c>
      <c r="I172">
        <v>114.5</v>
      </c>
      <c r="J172">
        <v>137.5</v>
      </c>
      <c r="K172">
        <v>160.69999999999999</v>
      </c>
      <c r="L172">
        <v>124.5</v>
      </c>
      <c r="M172">
        <v>122.4</v>
      </c>
      <c r="N172">
        <v>137.30000000000001</v>
      </c>
      <c r="O172">
        <v>124.8</v>
      </c>
      <c r="P172">
        <v>145</v>
      </c>
      <c r="Q172">
        <v>138</v>
      </c>
      <c r="R172">
        <v>153.6</v>
      </c>
      <c r="S172">
        <v>133.30000000000001</v>
      </c>
      <c r="T172">
        <v>124.6</v>
      </c>
      <c r="U172">
        <v>132</v>
      </c>
      <c r="V172">
        <v>135.69999999999999</v>
      </c>
      <c r="W172">
        <v>120.6</v>
      </c>
      <c r="X172">
        <v>128.1</v>
      </c>
      <c r="Y172">
        <v>126.1</v>
      </c>
      <c r="Z172">
        <v>124.4</v>
      </c>
      <c r="AA172">
        <v>135.9</v>
      </c>
      <c r="AB172">
        <v>124.5</v>
      </c>
      <c r="AC172">
        <v>115.7</v>
      </c>
      <c r="AD172">
        <v>124.5</v>
      </c>
      <c r="AE172">
        <v>132.4</v>
      </c>
    </row>
    <row r="173" spans="1:31" x14ac:dyDescent="0.3">
      <c r="A173" t="s">
        <v>27</v>
      </c>
      <c r="B173">
        <v>2017</v>
      </c>
      <c r="C173" t="s">
        <v>39</v>
      </c>
      <c r="D173">
        <f t="shared" si="3"/>
        <v>10</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s="2">
        <f>'Missing values'!V301</f>
        <v>137.30000000000001</v>
      </c>
      <c r="W173">
        <v>138.1</v>
      </c>
      <c r="X173">
        <v>138.4</v>
      </c>
      <c r="Y173">
        <v>134.19999999999999</v>
      </c>
      <c r="Z173">
        <v>127.4</v>
      </c>
      <c r="AA173">
        <v>140.1</v>
      </c>
      <c r="AB173">
        <v>133</v>
      </c>
      <c r="AC173">
        <v>121</v>
      </c>
      <c r="AD173">
        <v>130.69999999999999</v>
      </c>
      <c r="AE173">
        <v>138.30000000000001</v>
      </c>
    </row>
    <row r="174" spans="1:31" x14ac:dyDescent="0.3">
      <c r="A174" t="s">
        <v>30</v>
      </c>
      <c r="B174">
        <v>2017</v>
      </c>
      <c r="C174" t="s">
        <v>39</v>
      </c>
      <c r="D174">
        <f t="shared" ref="D174:D237" si="4">IF(C174="January",1,
IF(C174="february",2,
IF(C174="march",3,
IF(C174="april",4,
IF(C174="may",5,
IF(C174="june",6,
IF(C174="july",7,
IF(C174="august",8,
IF(C174="september",9,
IF(C174="october",10,
IF(C174="november",11,
IF(C174="december",12,
))))))))))))</f>
        <v>10</v>
      </c>
      <c r="E174">
        <v>135.30000000000001</v>
      </c>
      <c r="F174">
        <v>142.19999999999999</v>
      </c>
      <c r="G174">
        <v>131.19999999999999</v>
      </c>
      <c r="H174">
        <v>140.6</v>
      </c>
      <c r="I174">
        <v>119</v>
      </c>
      <c r="J174">
        <v>141.5</v>
      </c>
      <c r="K174">
        <v>162.6</v>
      </c>
      <c r="L174">
        <v>132.30000000000001</v>
      </c>
      <c r="M174">
        <v>121.8</v>
      </c>
      <c r="N174">
        <v>136.30000000000001</v>
      </c>
      <c r="O174">
        <v>128.69999999999999</v>
      </c>
      <c r="P174">
        <v>148.1</v>
      </c>
      <c r="Q174">
        <v>140.1</v>
      </c>
      <c r="R174">
        <v>151.6</v>
      </c>
      <c r="S174">
        <v>142</v>
      </c>
      <c r="T174">
        <v>134.1</v>
      </c>
      <c r="U174">
        <v>140.80000000000001</v>
      </c>
      <c r="V174">
        <v>137.30000000000001</v>
      </c>
      <c r="W174">
        <v>132.19999999999999</v>
      </c>
      <c r="X174">
        <v>133.6</v>
      </c>
      <c r="Y174">
        <v>131.30000000000001</v>
      </c>
      <c r="Z174">
        <v>126.2</v>
      </c>
      <c r="AA174">
        <v>137.9</v>
      </c>
      <c r="AB174">
        <v>128.4</v>
      </c>
      <c r="AC174">
        <v>117.8</v>
      </c>
      <c r="AD174">
        <v>127.7</v>
      </c>
      <c r="AE174">
        <v>136.1</v>
      </c>
    </row>
    <row r="175" spans="1:31" x14ac:dyDescent="0.3">
      <c r="A175" t="s">
        <v>29</v>
      </c>
      <c r="B175">
        <v>2017</v>
      </c>
      <c r="C175" t="s">
        <v>39</v>
      </c>
      <c r="D175">
        <f t="shared" si="4"/>
        <v>10</v>
      </c>
      <c r="E175">
        <v>133.9</v>
      </c>
      <c r="F175">
        <v>142.80000000000001</v>
      </c>
      <c r="G175">
        <v>131.4</v>
      </c>
      <c r="H175">
        <v>139.1</v>
      </c>
      <c r="I175">
        <v>114.9</v>
      </c>
      <c r="J175">
        <v>135.6</v>
      </c>
      <c r="K175">
        <v>173.2</v>
      </c>
      <c r="L175">
        <v>124.1</v>
      </c>
      <c r="M175">
        <v>122.6</v>
      </c>
      <c r="N175">
        <v>137.80000000000001</v>
      </c>
      <c r="O175">
        <v>125.1</v>
      </c>
      <c r="P175">
        <v>145.5</v>
      </c>
      <c r="Q175">
        <v>139.69999999999999</v>
      </c>
      <c r="R175">
        <v>154.6</v>
      </c>
      <c r="S175">
        <v>134</v>
      </c>
      <c r="T175">
        <v>124.9</v>
      </c>
      <c r="U175">
        <v>132.6</v>
      </c>
      <c r="V175">
        <v>137.30000000000001</v>
      </c>
      <c r="W175">
        <v>122.6</v>
      </c>
      <c r="X175">
        <v>128.30000000000001</v>
      </c>
      <c r="Y175">
        <v>126.6</v>
      </c>
      <c r="Z175">
        <v>124.6</v>
      </c>
      <c r="AA175">
        <v>136.30000000000001</v>
      </c>
      <c r="AB175">
        <v>124.8</v>
      </c>
      <c r="AC175">
        <v>115</v>
      </c>
      <c r="AD175">
        <v>124.5</v>
      </c>
      <c r="AE175">
        <v>133.5</v>
      </c>
    </row>
    <row r="176" spans="1:31" x14ac:dyDescent="0.3">
      <c r="A176" t="s">
        <v>27</v>
      </c>
      <c r="B176">
        <v>2017</v>
      </c>
      <c r="C176" t="s">
        <v>41</v>
      </c>
      <c r="D176">
        <f t="shared" si="4"/>
        <v>11</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s="2">
        <f>'Missing values'!V331</f>
        <v>138.6</v>
      </c>
      <c r="W176">
        <v>141.1</v>
      </c>
      <c r="X176">
        <v>139.4</v>
      </c>
      <c r="Y176">
        <v>135.80000000000001</v>
      </c>
      <c r="Z176">
        <v>128.1</v>
      </c>
      <c r="AA176">
        <v>141.5</v>
      </c>
      <c r="AB176">
        <v>133.69999999999999</v>
      </c>
      <c r="AC176">
        <v>121.6</v>
      </c>
      <c r="AD176">
        <v>131.69999999999999</v>
      </c>
      <c r="AE176">
        <v>140</v>
      </c>
    </row>
    <row r="177" spans="1:31" x14ac:dyDescent="0.3">
      <c r="A177" t="s">
        <v>30</v>
      </c>
      <c r="B177">
        <v>2017</v>
      </c>
      <c r="C177" t="s">
        <v>41</v>
      </c>
      <c r="D177">
        <f t="shared" si="4"/>
        <v>11</v>
      </c>
      <c r="E177">
        <v>135.69999999999999</v>
      </c>
      <c r="F177">
        <v>142.4</v>
      </c>
      <c r="G177">
        <v>142.9</v>
      </c>
      <c r="H177">
        <v>140.80000000000001</v>
      </c>
      <c r="I177">
        <v>119.2</v>
      </c>
      <c r="J177">
        <v>142.19999999999999</v>
      </c>
      <c r="K177">
        <v>173.8</v>
      </c>
      <c r="L177">
        <v>131.19999999999999</v>
      </c>
      <c r="M177">
        <v>123</v>
      </c>
      <c r="N177">
        <v>136.80000000000001</v>
      </c>
      <c r="O177">
        <v>129.19999999999999</v>
      </c>
      <c r="P177">
        <v>148.9</v>
      </c>
      <c r="Q177">
        <v>142.1</v>
      </c>
      <c r="R177">
        <v>153.19999999999999</v>
      </c>
      <c r="S177">
        <v>143</v>
      </c>
      <c r="T177">
        <v>134.80000000000001</v>
      </c>
      <c r="U177">
        <v>141.80000000000001</v>
      </c>
      <c r="V177">
        <v>138.6</v>
      </c>
      <c r="W177">
        <v>135.30000000000001</v>
      </c>
      <c r="X177">
        <v>134.4</v>
      </c>
      <c r="Y177">
        <v>132.6</v>
      </c>
      <c r="Z177">
        <v>126.8</v>
      </c>
      <c r="AA177">
        <v>138.6</v>
      </c>
      <c r="AB177">
        <v>128.9</v>
      </c>
      <c r="AC177">
        <v>118.3</v>
      </c>
      <c r="AD177">
        <v>128.4</v>
      </c>
      <c r="AE177">
        <v>137.6</v>
      </c>
    </row>
    <row r="178" spans="1:31" x14ac:dyDescent="0.3">
      <c r="A178" t="s">
        <v>29</v>
      </c>
      <c r="B178">
        <v>2017</v>
      </c>
      <c r="C178" t="s">
        <v>41</v>
      </c>
      <c r="D178">
        <f t="shared" si="4"/>
        <v>11</v>
      </c>
      <c r="E178">
        <v>134.30000000000001</v>
      </c>
      <c r="F178">
        <v>142.1</v>
      </c>
      <c r="G178">
        <v>146.69999999999999</v>
      </c>
      <c r="H178">
        <v>139.5</v>
      </c>
      <c r="I178">
        <v>115.2</v>
      </c>
      <c r="J178">
        <v>136.4</v>
      </c>
      <c r="K178">
        <v>185.2</v>
      </c>
      <c r="L178">
        <v>122.2</v>
      </c>
      <c r="M178">
        <v>123.9</v>
      </c>
      <c r="N178">
        <v>138.30000000000001</v>
      </c>
      <c r="O178">
        <v>125.4</v>
      </c>
      <c r="P178">
        <v>146</v>
      </c>
      <c r="Q178">
        <v>141.5</v>
      </c>
      <c r="R178">
        <v>156.19999999999999</v>
      </c>
      <c r="S178">
        <v>135</v>
      </c>
      <c r="T178">
        <v>125.4</v>
      </c>
      <c r="U178">
        <v>133.5</v>
      </c>
      <c r="V178">
        <v>138.6</v>
      </c>
      <c r="W178">
        <v>125.7</v>
      </c>
      <c r="X178">
        <v>128.80000000000001</v>
      </c>
      <c r="Y178">
        <v>127.4</v>
      </c>
      <c r="Z178">
        <v>124.9</v>
      </c>
      <c r="AA178">
        <v>136.6</v>
      </c>
      <c r="AB178">
        <v>125.1</v>
      </c>
      <c r="AC178">
        <v>115.3</v>
      </c>
      <c r="AD178">
        <v>124.9</v>
      </c>
      <c r="AE178">
        <v>134.80000000000001</v>
      </c>
    </row>
    <row r="179" spans="1:31" x14ac:dyDescent="0.3">
      <c r="A179" t="s">
        <v>27</v>
      </c>
      <c r="B179">
        <v>2017</v>
      </c>
      <c r="C179" t="s">
        <v>42</v>
      </c>
      <c r="D179">
        <f t="shared" si="4"/>
        <v>12</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s="2">
        <f>'Missing values'!V361</f>
        <v>139.1</v>
      </c>
      <c r="W179">
        <v>142.6</v>
      </c>
      <c r="X179">
        <v>139.5</v>
      </c>
      <c r="Y179">
        <v>136.1</v>
      </c>
      <c r="Z179">
        <v>127.8</v>
      </c>
      <c r="AA179">
        <v>141.1</v>
      </c>
      <c r="AB179">
        <v>133.4</v>
      </c>
      <c r="AC179">
        <v>122</v>
      </c>
      <c r="AD179">
        <v>131.9</v>
      </c>
      <c r="AE179">
        <v>139.80000000000001</v>
      </c>
    </row>
    <row r="180" spans="1:31" x14ac:dyDescent="0.3">
      <c r="A180" t="s">
        <v>30</v>
      </c>
      <c r="B180">
        <v>2017</v>
      </c>
      <c r="C180" t="s">
        <v>42</v>
      </c>
      <c r="D180">
        <f t="shared" si="4"/>
        <v>12</v>
      </c>
      <c r="E180">
        <v>135.80000000000001</v>
      </c>
      <c r="F180">
        <v>143.30000000000001</v>
      </c>
      <c r="G180">
        <v>145.19999999999999</v>
      </c>
      <c r="H180">
        <v>141</v>
      </c>
      <c r="I180">
        <v>120.5</v>
      </c>
      <c r="J180">
        <v>141.5</v>
      </c>
      <c r="K180">
        <v>161.69999999999999</v>
      </c>
      <c r="L180">
        <v>129.1</v>
      </c>
      <c r="M180">
        <v>121.5</v>
      </c>
      <c r="N180">
        <v>137.1</v>
      </c>
      <c r="O180">
        <v>128.80000000000001</v>
      </c>
      <c r="P180">
        <v>149</v>
      </c>
      <c r="Q180">
        <v>140.5</v>
      </c>
      <c r="R180">
        <v>154.19999999999999</v>
      </c>
      <c r="S180">
        <v>143.1</v>
      </c>
      <c r="T180">
        <v>135.1</v>
      </c>
      <c r="U180">
        <v>142</v>
      </c>
      <c r="V180">
        <v>139.1</v>
      </c>
      <c r="W180">
        <v>136.6</v>
      </c>
      <c r="X180">
        <v>134.69999999999999</v>
      </c>
      <c r="Y180">
        <v>133.1</v>
      </c>
      <c r="Z180">
        <v>126.5</v>
      </c>
      <c r="AA180">
        <v>138.5</v>
      </c>
      <c r="AB180">
        <v>129</v>
      </c>
      <c r="AC180">
        <v>118.5</v>
      </c>
      <c r="AD180">
        <v>128.6</v>
      </c>
      <c r="AE180">
        <v>137.19999999999999</v>
      </c>
    </row>
    <row r="181" spans="1:31" x14ac:dyDescent="0.3">
      <c r="A181" t="s">
        <v>29</v>
      </c>
      <c r="B181">
        <v>2017</v>
      </c>
      <c r="C181" t="s">
        <v>42</v>
      </c>
      <c r="D181">
        <f t="shared" si="4"/>
        <v>12</v>
      </c>
      <c r="E181">
        <v>134.4</v>
      </c>
      <c r="F181">
        <v>142.6</v>
      </c>
      <c r="G181">
        <v>145.9</v>
      </c>
      <c r="H181">
        <v>139.5</v>
      </c>
      <c r="I181">
        <v>115.9</v>
      </c>
      <c r="J181">
        <v>135</v>
      </c>
      <c r="K181">
        <v>163.19999999999999</v>
      </c>
      <c r="L181">
        <v>119.8</v>
      </c>
      <c r="M181">
        <v>120.7</v>
      </c>
      <c r="N181">
        <v>139.69999999999999</v>
      </c>
      <c r="O181">
        <v>125.7</v>
      </c>
      <c r="P181">
        <v>146.30000000000001</v>
      </c>
      <c r="Q181">
        <v>138.80000000000001</v>
      </c>
      <c r="R181">
        <v>157</v>
      </c>
      <c r="S181">
        <v>135.6</v>
      </c>
      <c r="T181">
        <v>125.6</v>
      </c>
      <c r="U181">
        <v>134</v>
      </c>
      <c r="V181">
        <v>139.1</v>
      </c>
      <c r="W181">
        <v>126.8</v>
      </c>
      <c r="X181">
        <v>129.30000000000001</v>
      </c>
      <c r="Y181">
        <v>128.19999999999999</v>
      </c>
      <c r="Z181">
        <v>124.6</v>
      </c>
      <c r="AA181">
        <v>136.69999999999999</v>
      </c>
      <c r="AB181">
        <v>125.6</v>
      </c>
      <c r="AC181">
        <v>115.3</v>
      </c>
      <c r="AD181">
        <v>125.1</v>
      </c>
      <c r="AE181">
        <v>134.1</v>
      </c>
    </row>
    <row r="182" spans="1:31" x14ac:dyDescent="0.3">
      <c r="A182" t="s">
        <v>27</v>
      </c>
      <c r="B182">
        <v>2018</v>
      </c>
      <c r="C182" t="s">
        <v>28</v>
      </c>
      <c r="D182">
        <f t="shared" si="4"/>
        <v>1</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s="2">
        <f>'Missing values'!V22</f>
        <v>140.4</v>
      </c>
      <c r="W182">
        <v>142.30000000000001</v>
      </c>
      <c r="X182">
        <v>139.80000000000001</v>
      </c>
      <c r="Y182">
        <v>136</v>
      </c>
      <c r="Z182">
        <v>128.6</v>
      </c>
      <c r="AA182">
        <v>141.6</v>
      </c>
      <c r="AB182">
        <v>134.30000000000001</v>
      </c>
      <c r="AC182">
        <v>122.7</v>
      </c>
      <c r="AD182">
        <v>132.30000000000001</v>
      </c>
      <c r="AE182">
        <v>139.30000000000001</v>
      </c>
    </row>
    <row r="183" spans="1:31" x14ac:dyDescent="0.3">
      <c r="A183" t="s">
        <v>30</v>
      </c>
      <c r="B183">
        <v>2018</v>
      </c>
      <c r="C183" t="s">
        <v>28</v>
      </c>
      <c r="D183">
        <f t="shared" si="4"/>
        <v>1</v>
      </c>
      <c r="E183">
        <v>136</v>
      </c>
      <c r="F183">
        <v>144.19999999999999</v>
      </c>
      <c r="G183">
        <v>143.69999999999999</v>
      </c>
      <c r="H183">
        <v>141.1</v>
      </c>
      <c r="I183">
        <v>120.7</v>
      </c>
      <c r="J183">
        <v>141.30000000000001</v>
      </c>
      <c r="K183">
        <v>151.6</v>
      </c>
      <c r="L183">
        <v>127.3</v>
      </c>
      <c r="M183">
        <v>118.8</v>
      </c>
      <c r="N183">
        <v>137.5</v>
      </c>
      <c r="O183">
        <v>129</v>
      </c>
      <c r="P183">
        <v>149.5</v>
      </c>
      <c r="Q183">
        <v>139.19999999999999</v>
      </c>
      <c r="R183">
        <v>154.69999999999999</v>
      </c>
      <c r="S183">
        <v>143.5</v>
      </c>
      <c r="T183">
        <v>135.5</v>
      </c>
      <c r="U183">
        <v>142.30000000000001</v>
      </c>
      <c r="V183">
        <v>140.4</v>
      </c>
      <c r="W183">
        <v>136.6</v>
      </c>
      <c r="X183">
        <v>134.9</v>
      </c>
      <c r="Y183">
        <v>133.30000000000001</v>
      </c>
      <c r="Z183">
        <v>127.3</v>
      </c>
      <c r="AA183">
        <v>139</v>
      </c>
      <c r="AB183">
        <v>129.69999999999999</v>
      </c>
      <c r="AC183">
        <v>119.3</v>
      </c>
      <c r="AD183">
        <v>129.1</v>
      </c>
      <c r="AE183">
        <v>136.9</v>
      </c>
    </row>
    <row r="184" spans="1:31" x14ac:dyDescent="0.3">
      <c r="A184" t="s">
        <v>29</v>
      </c>
      <c r="B184">
        <v>2018</v>
      </c>
      <c r="C184" t="s">
        <v>28</v>
      </c>
      <c r="D184">
        <f t="shared" si="4"/>
        <v>1</v>
      </c>
      <c r="E184">
        <v>134.6</v>
      </c>
      <c r="F184">
        <v>143.69999999999999</v>
      </c>
      <c r="G184">
        <v>143.6</v>
      </c>
      <c r="H184">
        <v>139.6</v>
      </c>
      <c r="I184">
        <v>116.4</v>
      </c>
      <c r="J184">
        <v>133.80000000000001</v>
      </c>
      <c r="K184">
        <v>150.5</v>
      </c>
      <c r="L184">
        <v>118.4</v>
      </c>
      <c r="M184">
        <v>117.3</v>
      </c>
      <c r="N184">
        <v>140.5</v>
      </c>
      <c r="O184">
        <v>125.9</v>
      </c>
      <c r="P184">
        <v>146.80000000000001</v>
      </c>
      <c r="Q184">
        <v>137.19999999999999</v>
      </c>
      <c r="R184">
        <v>157.69999999999999</v>
      </c>
      <c r="S184">
        <v>136</v>
      </c>
      <c r="T184">
        <v>125.9</v>
      </c>
      <c r="U184">
        <v>134.4</v>
      </c>
      <c r="V184">
        <v>140.4</v>
      </c>
      <c r="W184">
        <v>127.3</v>
      </c>
      <c r="X184">
        <v>129.5</v>
      </c>
      <c r="Y184">
        <v>129</v>
      </c>
      <c r="Z184">
        <v>125.5</v>
      </c>
      <c r="AA184">
        <v>137.1</v>
      </c>
      <c r="AB184">
        <v>126.2</v>
      </c>
      <c r="AC184">
        <v>116.3</v>
      </c>
      <c r="AD184">
        <v>125.8</v>
      </c>
      <c r="AE184">
        <v>134.1</v>
      </c>
    </row>
    <row r="185" spans="1:31" x14ac:dyDescent="0.3">
      <c r="A185" t="s">
        <v>27</v>
      </c>
      <c r="B185">
        <v>2018</v>
      </c>
      <c r="C185" t="s">
        <v>31</v>
      </c>
      <c r="D185">
        <f t="shared" si="4"/>
        <v>2</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s="2">
        <f>'Missing values'!V55</f>
        <v>141.30000000000001</v>
      </c>
      <c r="W185">
        <v>142.4</v>
      </c>
      <c r="X185">
        <v>139.9</v>
      </c>
      <c r="Y185">
        <v>136.19999999999999</v>
      </c>
      <c r="Z185">
        <v>128.80000000000001</v>
      </c>
      <c r="AA185">
        <v>141.5</v>
      </c>
      <c r="AB185">
        <v>134.30000000000001</v>
      </c>
      <c r="AC185">
        <v>123.3</v>
      </c>
      <c r="AD185">
        <v>132.5</v>
      </c>
      <c r="AE185">
        <v>138.5</v>
      </c>
    </row>
    <row r="186" spans="1:31" x14ac:dyDescent="0.3">
      <c r="A186" t="s">
        <v>30</v>
      </c>
      <c r="B186">
        <v>2018</v>
      </c>
      <c r="C186" t="s">
        <v>31</v>
      </c>
      <c r="D186">
        <f t="shared" si="4"/>
        <v>2</v>
      </c>
      <c r="E186">
        <v>135.9</v>
      </c>
      <c r="F186">
        <v>143.5</v>
      </c>
      <c r="G186">
        <v>140.30000000000001</v>
      </c>
      <c r="H186">
        <v>140.9</v>
      </c>
      <c r="I186">
        <v>120.4</v>
      </c>
      <c r="J186">
        <v>142.9</v>
      </c>
      <c r="K186">
        <v>140.5</v>
      </c>
      <c r="L186">
        <v>125.8</v>
      </c>
      <c r="M186">
        <v>117.1</v>
      </c>
      <c r="N186">
        <v>137.30000000000001</v>
      </c>
      <c r="O186">
        <v>128.6</v>
      </c>
      <c r="P186">
        <v>149.6</v>
      </c>
      <c r="Q186">
        <v>137.6</v>
      </c>
      <c r="R186">
        <v>154.9</v>
      </c>
      <c r="S186">
        <v>143.80000000000001</v>
      </c>
      <c r="T186">
        <v>135.6</v>
      </c>
      <c r="U186">
        <v>142.6</v>
      </c>
      <c r="V186">
        <v>141.30000000000001</v>
      </c>
      <c r="W186">
        <v>136.69999999999999</v>
      </c>
      <c r="X186">
        <v>135.19999999999999</v>
      </c>
      <c r="Y186">
        <v>133.80000000000001</v>
      </c>
      <c r="Z186">
        <v>127.7</v>
      </c>
      <c r="AA186">
        <v>139</v>
      </c>
      <c r="AB186">
        <v>129.9</v>
      </c>
      <c r="AC186">
        <v>120.2</v>
      </c>
      <c r="AD186">
        <v>129.6</v>
      </c>
      <c r="AE186">
        <v>136.4</v>
      </c>
    </row>
    <row r="187" spans="1:31" x14ac:dyDescent="0.3">
      <c r="A187" t="s">
        <v>29</v>
      </c>
      <c r="B187">
        <v>2018</v>
      </c>
      <c r="C187" t="s">
        <v>31</v>
      </c>
      <c r="D187">
        <f t="shared" si="4"/>
        <v>2</v>
      </c>
      <c r="E187">
        <v>134.80000000000001</v>
      </c>
      <c r="F187">
        <v>143</v>
      </c>
      <c r="G187">
        <v>139.9</v>
      </c>
      <c r="H187">
        <v>139.9</v>
      </c>
      <c r="I187">
        <v>116.2</v>
      </c>
      <c r="J187">
        <v>135.5</v>
      </c>
      <c r="K187">
        <v>136.9</v>
      </c>
      <c r="L187">
        <v>117</v>
      </c>
      <c r="M187">
        <v>115.4</v>
      </c>
      <c r="N187">
        <v>140.69999999999999</v>
      </c>
      <c r="O187">
        <v>125.9</v>
      </c>
      <c r="P187">
        <v>147.1</v>
      </c>
      <c r="Q187">
        <v>135.6</v>
      </c>
      <c r="R187">
        <v>159.30000000000001</v>
      </c>
      <c r="S187">
        <v>136.30000000000001</v>
      </c>
      <c r="T187">
        <v>126.1</v>
      </c>
      <c r="U187">
        <v>134.69999999999999</v>
      </c>
      <c r="V187">
        <v>141.30000000000001</v>
      </c>
      <c r="W187">
        <v>127.3</v>
      </c>
      <c r="X187">
        <v>129.9</v>
      </c>
      <c r="Y187">
        <v>129.80000000000001</v>
      </c>
      <c r="Z187">
        <v>126.2</v>
      </c>
      <c r="AA187">
        <v>137.19999999999999</v>
      </c>
      <c r="AB187">
        <v>126.5</v>
      </c>
      <c r="AC187">
        <v>117.4</v>
      </c>
      <c r="AD187">
        <v>126.5</v>
      </c>
      <c r="AE187">
        <v>134</v>
      </c>
    </row>
    <row r="188" spans="1:31" x14ac:dyDescent="0.3">
      <c r="A188" t="s">
        <v>27</v>
      </c>
      <c r="B188">
        <v>2018</v>
      </c>
      <c r="C188" t="s">
        <v>32</v>
      </c>
      <c r="D188">
        <f t="shared" si="4"/>
        <v>3</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s="2">
        <f>'Missing values'!V88</f>
        <v>142</v>
      </c>
      <c r="W188">
        <v>142.6</v>
      </c>
      <c r="X188">
        <v>139.9</v>
      </c>
      <c r="Y188">
        <v>136.69999999999999</v>
      </c>
      <c r="Z188">
        <v>129.30000000000001</v>
      </c>
      <c r="AA188">
        <v>142.69999999999999</v>
      </c>
      <c r="AB188">
        <v>135.1</v>
      </c>
      <c r="AC188">
        <v>124.6</v>
      </c>
      <c r="AD188">
        <v>133.30000000000001</v>
      </c>
      <c r="AE188">
        <v>138.69999999999999</v>
      </c>
    </row>
    <row r="189" spans="1:31" x14ac:dyDescent="0.3">
      <c r="A189" t="s">
        <v>30</v>
      </c>
      <c r="B189">
        <v>2018</v>
      </c>
      <c r="C189" t="s">
        <v>32</v>
      </c>
      <c r="D189">
        <f t="shared" si="4"/>
        <v>3</v>
      </c>
      <c r="E189">
        <v>136.19999999999999</v>
      </c>
      <c r="F189">
        <v>143.6</v>
      </c>
      <c r="G189">
        <v>138.30000000000001</v>
      </c>
      <c r="H189">
        <v>141.19999999999999</v>
      </c>
      <c r="I189">
        <v>120.7</v>
      </c>
      <c r="J189">
        <v>146.19999999999999</v>
      </c>
      <c r="K189">
        <v>134.6</v>
      </c>
      <c r="L189">
        <v>124.6</v>
      </c>
      <c r="M189">
        <v>116.1</v>
      </c>
      <c r="N189">
        <v>137.80000000000001</v>
      </c>
      <c r="O189">
        <v>129.1</v>
      </c>
      <c r="P189">
        <v>150.4</v>
      </c>
      <c r="Q189">
        <v>137.19999999999999</v>
      </c>
      <c r="R189">
        <v>156.30000000000001</v>
      </c>
      <c r="S189">
        <v>144.30000000000001</v>
      </c>
      <c r="T189">
        <v>136.19999999999999</v>
      </c>
      <c r="U189">
        <v>143.1</v>
      </c>
      <c r="V189">
        <v>142</v>
      </c>
      <c r="W189">
        <v>136.5</v>
      </c>
      <c r="X189">
        <v>135.6</v>
      </c>
      <c r="Y189">
        <v>134.30000000000001</v>
      </c>
      <c r="Z189">
        <v>128.19999999999999</v>
      </c>
      <c r="AA189">
        <v>139.80000000000001</v>
      </c>
      <c r="AB189">
        <v>130.4</v>
      </c>
      <c r="AC189">
        <v>121</v>
      </c>
      <c r="AD189">
        <v>130.30000000000001</v>
      </c>
      <c r="AE189">
        <v>136.5</v>
      </c>
    </row>
    <row r="190" spans="1:31" x14ac:dyDescent="0.3">
      <c r="A190" t="s">
        <v>29</v>
      </c>
      <c r="B190">
        <v>2018</v>
      </c>
      <c r="C190" t="s">
        <v>32</v>
      </c>
      <c r="D190">
        <f t="shared" si="4"/>
        <v>3</v>
      </c>
      <c r="E190">
        <v>135</v>
      </c>
      <c r="F190">
        <v>143.1</v>
      </c>
      <c r="G190">
        <v>135.5</v>
      </c>
      <c r="H190">
        <v>139.9</v>
      </c>
      <c r="I190">
        <v>116.5</v>
      </c>
      <c r="J190">
        <v>138.5</v>
      </c>
      <c r="K190">
        <v>128</v>
      </c>
      <c r="L190">
        <v>115.5</v>
      </c>
      <c r="M190">
        <v>114.2</v>
      </c>
      <c r="N190">
        <v>140.69999999999999</v>
      </c>
      <c r="O190">
        <v>126.2</v>
      </c>
      <c r="P190">
        <v>147.6</v>
      </c>
      <c r="Q190">
        <v>134.80000000000001</v>
      </c>
      <c r="R190">
        <v>159.69999999999999</v>
      </c>
      <c r="S190">
        <v>136.69999999999999</v>
      </c>
      <c r="T190">
        <v>126.7</v>
      </c>
      <c r="U190">
        <v>135.19999999999999</v>
      </c>
      <c r="V190">
        <v>142</v>
      </c>
      <c r="W190">
        <v>126.4</v>
      </c>
      <c r="X190">
        <v>130.80000000000001</v>
      </c>
      <c r="Y190">
        <v>130.5</v>
      </c>
      <c r="Z190">
        <v>126.7</v>
      </c>
      <c r="AA190">
        <v>137.80000000000001</v>
      </c>
      <c r="AB190">
        <v>126.8</v>
      </c>
      <c r="AC190">
        <v>117.8</v>
      </c>
      <c r="AD190">
        <v>127.1</v>
      </c>
      <c r="AE190">
        <v>134</v>
      </c>
    </row>
    <row r="191" spans="1:31" x14ac:dyDescent="0.3">
      <c r="A191" t="s">
        <v>27</v>
      </c>
      <c r="B191">
        <v>2018</v>
      </c>
      <c r="C191" t="s">
        <v>33</v>
      </c>
      <c r="D191">
        <f t="shared" si="4"/>
        <v>4</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s="2">
        <f>'Missing values'!V121</f>
        <v>142.9</v>
      </c>
      <c r="W191">
        <v>143.80000000000001</v>
      </c>
      <c r="X191">
        <v>140.9</v>
      </c>
      <c r="Y191">
        <v>137.6</v>
      </c>
      <c r="Z191">
        <v>130.4</v>
      </c>
      <c r="AA191">
        <v>143.69999999999999</v>
      </c>
      <c r="AB191">
        <v>136</v>
      </c>
      <c r="AC191">
        <v>125.3</v>
      </c>
      <c r="AD191">
        <v>134.19999999999999</v>
      </c>
      <c r="AE191">
        <v>139.1</v>
      </c>
    </row>
    <row r="192" spans="1:31" x14ac:dyDescent="0.3">
      <c r="A192" t="s">
        <v>30</v>
      </c>
      <c r="B192">
        <v>2018</v>
      </c>
      <c r="C192" t="s">
        <v>33</v>
      </c>
      <c r="D192">
        <f t="shared" si="4"/>
        <v>4</v>
      </c>
      <c r="E192">
        <v>136.4</v>
      </c>
      <c r="F192">
        <v>144.4</v>
      </c>
      <c r="G192">
        <v>133.9</v>
      </c>
      <c r="H192">
        <v>141.6</v>
      </c>
      <c r="I192">
        <v>121</v>
      </c>
      <c r="J192">
        <v>153.5</v>
      </c>
      <c r="K192">
        <v>132.6</v>
      </c>
      <c r="L192">
        <v>123.5</v>
      </c>
      <c r="M192">
        <v>113.7</v>
      </c>
      <c r="N192">
        <v>138.19999999999999</v>
      </c>
      <c r="O192">
        <v>129.6</v>
      </c>
      <c r="P192">
        <v>151.19999999999999</v>
      </c>
      <c r="Q192">
        <v>137.5</v>
      </c>
      <c r="R192">
        <v>156.9</v>
      </c>
      <c r="S192">
        <v>145.30000000000001</v>
      </c>
      <c r="T192">
        <v>136.69999999999999</v>
      </c>
      <c r="U192">
        <v>144</v>
      </c>
      <c r="V192">
        <v>142.9</v>
      </c>
      <c r="W192">
        <v>136.5</v>
      </c>
      <c r="X192">
        <v>136.6</v>
      </c>
      <c r="Y192">
        <v>135.19999999999999</v>
      </c>
      <c r="Z192">
        <v>129.19999999999999</v>
      </c>
      <c r="AA192">
        <v>141.4</v>
      </c>
      <c r="AB192">
        <v>131.30000000000001</v>
      </c>
      <c r="AC192">
        <v>121.9</v>
      </c>
      <c r="AD192">
        <v>131.30000000000001</v>
      </c>
      <c r="AE192">
        <v>137.1</v>
      </c>
    </row>
    <row r="193" spans="1:31" x14ac:dyDescent="0.3">
      <c r="A193" t="s">
        <v>29</v>
      </c>
      <c r="B193">
        <v>2018</v>
      </c>
      <c r="C193" t="s">
        <v>33</v>
      </c>
      <c r="D193">
        <f t="shared" si="4"/>
        <v>4</v>
      </c>
      <c r="E193">
        <v>135</v>
      </c>
      <c r="F193">
        <v>144.30000000000001</v>
      </c>
      <c r="G193">
        <v>130.80000000000001</v>
      </c>
      <c r="H193">
        <v>140.30000000000001</v>
      </c>
      <c r="I193">
        <v>116.6</v>
      </c>
      <c r="J193">
        <v>150.1</v>
      </c>
      <c r="K193">
        <v>127.6</v>
      </c>
      <c r="L193">
        <v>114</v>
      </c>
      <c r="M193">
        <v>110.6</v>
      </c>
      <c r="N193">
        <v>140.19999999999999</v>
      </c>
      <c r="O193">
        <v>126.5</v>
      </c>
      <c r="P193">
        <v>148.30000000000001</v>
      </c>
      <c r="Q193">
        <v>135.69999999999999</v>
      </c>
      <c r="R193">
        <v>159.19999999999999</v>
      </c>
      <c r="S193">
        <v>137.80000000000001</v>
      </c>
      <c r="T193">
        <v>127.4</v>
      </c>
      <c r="U193">
        <v>136.19999999999999</v>
      </c>
      <c r="V193">
        <v>142.9</v>
      </c>
      <c r="W193">
        <v>124.6</v>
      </c>
      <c r="X193">
        <v>131.80000000000001</v>
      </c>
      <c r="Y193">
        <v>131.30000000000001</v>
      </c>
      <c r="Z193">
        <v>127.6</v>
      </c>
      <c r="AA193">
        <v>139.69999999999999</v>
      </c>
      <c r="AB193">
        <v>127.6</v>
      </c>
      <c r="AC193">
        <v>118.9</v>
      </c>
      <c r="AD193">
        <v>128.19999999999999</v>
      </c>
      <c r="AE193">
        <v>134.80000000000001</v>
      </c>
    </row>
    <row r="194" spans="1:31" x14ac:dyDescent="0.3">
      <c r="A194" t="s">
        <v>27</v>
      </c>
      <c r="B194">
        <v>2018</v>
      </c>
      <c r="C194" t="s">
        <v>34</v>
      </c>
      <c r="D194">
        <f t="shared" si="4"/>
        <v>5</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s="2">
        <f>'Missing values'!V151</f>
        <v>143.19999999999999</v>
      </c>
      <c r="W194">
        <v>144.30000000000001</v>
      </c>
      <c r="X194">
        <v>141.80000000000001</v>
      </c>
      <c r="Y194">
        <v>138.4</v>
      </c>
      <c r="Z194">
        <v>131.19999999999999</v>
      </c>
      <c r="AA194">
        <v>144.4</v>
      </c>
      <c r="AB194">
        <v>136.80000000000001</v>
      </c>
      <c r="AC194">
        <v>126.4</v>
      </c>
      <c r="AD194">
        <v>135.1</v>
      </c>
      <c r="AE194">
        <v>139.80000000000001</v>
      </c>
    </row>
    <row r="195" spans="1:31" x14ac:dyDescent="0.3">
      <c r="A195" t="s">
        <v>30</v>
      </c>
      <c r="B195">
        <v>2018</v>
      </c>
      <c r="C195" t="s">
        <v>34</v>
      </c>
      <c r="D195">
        <f t="shared" si="4"/>
        <v>5</v>
      </c>
      <c r="E195">
        <v>136.6</v>
      </c>
      <c r="F195">
        <v>146.6</v>
      </c>
      <c r="G195">
        <v>133.6</v>
      </c>
      <c r="H195">
        <v>142.1</v>
      </c>
      <c r="I195">
        <v>121</v>
      </c>
      <c r="J195">
        <v>154.6</v>
      </c>
      <c r="K195">
        <v>135.6</v>
      </c>
      <c r="L195">
        <v>122.3</v>
      </c>
      <c r="M195">
        <v>109.6</v>
      </c>
      <c r="N195">
        <v>138.1</v>
      </c>
      <c r="O195">
        <v>129.9</v>
      </c>
      <c r="P195">
        <v>151.69999999999999</v>
      </c>
      <c r="Q195">
        <v>138.1</v>
      </c>
      <c r="R195">
        <v>157.9</v>
      </c>
      <c r="S195">
        <v>146</v>
      </c>
      <c r="T195">
        <v>137.4</v>
      </c>
      <c r="U195">
        <v>144.69999999999999</v>
      </c>
      <c r="V195">
        <v>143.19999999999999</v>
      </c>
      <c r="W195">
        <v>136.9</v>
      </c>
      <c r="X195">
        <v>137.4</v>
      </c>
      <c r="Y195">
        <v>136</v>
      </c>
      <c r="Z195">
        <v>129.9</v>
      </c>
      <c r="AA195">
        <v>142.1</v>
      </c>
      <c r="AB195">
        <v>131.80000000000001</v>
      </c>
      <c r="AC195">
        <v>122.9</v>
      </c>
      <c r="AD195">
        <v>132.1</v>
      </c>
      <c r="AE195">
        <v>137.80000000000001</v>
      </c>
    </row>
    <row r="196" spans="1:31" x14ac:dyDescent="0.3">
      <c r="A196" t="s">
        <v>29</v>
      </c>
      <c r="B196">
        <v>2018</v>
      </c>
      <c r="C196" t="s">
        <v>34</v>
      </c>
      <c r="D196">
        <f t="shared" si="4"/>
        <v>5</v>
      </c>
      <c r="E196">
        <v>135</v>
      </c>
      <c r="F196">
        <v>148.19999999999999</v>
      </c>
      <c r="G196">
        <v>130.5</v>
      </c>
      <c r="H196">
        <v>140.69999999999999</v>
      </c>
      <c r="I196">
        <v>116.4</v>
      </c>
      <c r="J196">
        <v>151.30000000000001</v>
      </c>
      <c r="K196">
        <v>131.4</v>
      </c>
      <c r="L196">
        <v>112.8</v>
      </c>
      <c r="M196">
        <v>105.3</v>
      </c>
      <c r="N196">
        <v>139.6</v>
      </c>
      <c r="O196">
        <v>126.6</v>
      </c>
      <c r="P196">
        <v>148.69999999999999</v>
      </c>
      <c r="Q196">
        <v>136.4</v>
      </c>
      <c r="R196">
        <v>160.30000000000001</v>
      </c>
      <c r="S196">
        <v>138.6</v>
      </c>
      <c r="T196">
        <v>127.9</v>
      </c>
      <c r="U196">
        <v>137</v>
      </c>
      <c r="V196">
        <v>143.19999999999999</v>
      </c>
      <c r="W196">
        <v>124.7</v>
      </c>
      <c r="X196">
        <v>132.5</v>
      </c>
      <c r="Y196">
        <v>132</v>
      </c>
      <c r="Z196">
        <v>128.1</v>
      </c>
      <c r="AA196">
        <v>140.4</v>
      </c>
      <c r="AB196">
        <v>128</v>
      </c>
      <c r="AC196">
        <v>119.8</v>
      </c>
      <c r="AD196">
        <v>128.9</v>
      </c>
      <c r="AE196">
        <v>135.4</v>
      </c>
    </row>
    <row r="197" spans="1:31" x14ac:dyDescent="0.3">
      <c r="A197" t="s">
        <v>27</v>
      </c>
      <c r="B197">
        <v>2018</v>
      </c>
      <c r="C197" t="s">
        <v>35</v>
      </c>
      <c r="D197">
        <f t="shared" si="4"/>
        <v>6</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s="2">
        <f>'Missing values'!V184</f>
        <v>142.5</v>
      </c>
      <c r="W197">
        <v>145.1</v>
      </c>
      <c r="X197">
        <v>142.19999999999999</v>
      </c>
      <c r="Y197">
        <v>138.4</v>
      </c>
      <c r="Z197">
        <v>131.4</v>
      </c>
      <c r="AA197">
        <v>145.1</v>
      </c>
      <c r="AB197">
        <v>137.80000000000001</v>
      </c>
      <c r="AC197">
        <v>127.4</v>
      </c>
      <c r="AD197">
        <v>135.6</v>
      </c>
      <c r="AE197">
        <v>140.5</v>
      </c>
    </row>
    <row r="198" spans="1:31" x14ac:dyDescent="0.3">
      <c r="A198" t="s">
        <v>30</v>
      </c>
      <c r="B198">
        <v>2018</v>
      </c>
      <c r="C198" t="s">
        <v>35</v>
      </c>
      <c r="D198">
        <f t="shared" si="4"/>
        <v>6</v>
      </c>
      <c r="E198">
        <v>136.9</v>
      </c>
      <c r="F198">
        <v>148.69999999999999</v>
      </c>
      <c r="G198">
        <v>135.6</v>
      </c>
      <c r="H198">
        <v>142.30000000000001</v>
      </c>
      <c r="I198">
        <v>121.3</v>
      </c>
      <c r="J198">
        <v>153.19999999999999</v>
      </c>
      <c r="K198">
        <v>143.69999999999999</v>
      </c>
      <c r="L198">
        <v>121.4</v>
      </c>
      <c r="M198">
        <v>111.1</v>
      </c>
      <c r="N198">
        <v>138.4</v>
      </c>
      <c r="O198">
        <v>130.30000000000001</v>
      </c>
      <c r="P198">
        <v>151.80000000000001</v>
      </c>
      <c r="Q198">
        <v>139.4</v>
      </c>
      <c r="R198">
        <v>158.30000000000001</v>
      </c>
      <c r="S198">
        <v>146.4</v>
      </c>
      <c r="T198">
        <v>138.1</v>
      </c>
      <c r="U198">
        <v>145.19999999999999</v>
      </c>
      <c r="V198">
        <v>142.5</v>
      </c>
      <c r="W198">
        <v>138.1</v>
      </c>
      <c r="X198">
        <v>137.9</v>
      </c>
      <c r="Y198">
        <v>136.19999999999999</v>
      </c>
      <c r="Z198">
        <v>130.1</v>
      </c>
      <c r="AA198">
        <v>142.80000000000001</v>
      </c>
      <c r="AB198">
        <v>132.6</v>
      </c>
      <c r="AC198">
        <v>123.7</v>
      </c>
      <c r="AD198">
        <v>132.6</v>
      </c>
      <c r="AE198">
        <v>138.5</v>
      </c>
    </row>
    <row r="199" spans="1:31" x14ac:dyDescent="0.3">
      <c r="A199" t="s">
        <v>29</v>
      </c>
      <c r="B199">
        <v>2018</v>
      </c>
      <c r="C199" t="s">
        <v>35</v>
      </c>
      <c r="D199">
        <f t="shared" si="4"/>
        <v>6</v>
      </c>
      <c r="E199">
        <v>135.30000000000001</v>
      </c>
      <c r="F199">
        <v>149.69999999999999</v>
      </c>
      <c r="G199">
        <v>133.9</v>
      </c>
      <c r="H199">
        <v>140.80000000000001</v>
      </c>
      <c r="I199">
        <v>116.6</v>
      </c>
      <c r="J199">
        <v>152.19999999999999</v>
      </c>
      <c r="K199">
        <v>144</v>
      </c>
      <c r="L199">
        <v>112.3</v>
      </c>
      <c r="M199">
        <v>108.4</v>
      </c>
      <c r="N199">
        <v>140</v>
      </c>
      <c r="O199">
        <v>126.7</v>
      </c>
      <c r="P199">
        <v>149</v>
      </c>
      <c r="Q199">
        <v>138.4</v>
      </c>
      <c r="R199">
        <v>161</v>
      </c>
      <c r="S199">
        <v>138.9</v>
      </c>
      <c r="T199">
        <v>128.69999999999999</v>
      </c>
      <c r="U199">
        <v>137.4</v>
      </c>
      <c r="V199">
        <v>142.5</v>
      </c>
      <c r="W199">
        <v>126.5</v>
      </c>
      <c r="X199">
        <v>133.1</v>
      </c>
      <c r="Y199">
        <v>132.6</v>
      </c>
      <c r="Z199">
        <v>128.19999999999999</v>
      </c>
      <c r="AA199">
        <v>141.19999999999999</v>
      </c>
      <c r="AB199">
        <v>128.5</v>
      </c>
      <c r="AC199">
        <v>120.4</v>
      </c>
      <c r="AD199">
        <v>129.5</v>
      </c>
      <c r="AE199">
        <v>136.19999999999999</v>
      </c>
    </row>
    <row r="200" spans="1:31" x14ac:dyDescent="0.3">
      <c r="A200" t="s">
        <v>27</v>
      </c>
      <c r="B200">
        <v>2018</v>
      </c>
      <c r="C200" t="s">
        <v>36</v>
      </c>
      <c r="D200">
        <f t="shared" si="4"/>
        <v>7</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s="2">
        <f>'Missing values'!V214</f>
        <v>143.6</v>
      </c>
      <c r="W200">
        <v>146.80000000000001</v>
      </c>
      <c r="X200">
        <v>143.1</v>
      </c>
      <c r="Y200">
        <v>139</v>
      </c>
      <c r="Z200">
        <v>131.4</v>
      </c>
      <c r="AA200">
        <v>145.80000000000001</v>
      </c>
      <c r="AB200">
        <v>138.4</v>
      </c>
      <c r="AC200">
        <v>127.5</v>
      </c>
      <c r="AD200">
        <v>136</v>
      </c>
      <c r="AE200">
        <v>141.80000000000001</v>
      </c>
    </row>
    <row r="201" spans="1:31" x14ac:dyDescent="0.3">
      <c r="A201" t="s">
        <v>30</v>
      </c>
      <c r="B201">
        <v>2018</v>
      </c>
      <c r="C201" t="s">
        <v>36</v>
      </c>
      <c r="D201">
        <f t="shared" si="4"/>
        <v>7</v>
      </c>
      <c r="E201">
        <v>137.5</v>
      </c>
      <c r="F201">
        <v>149.1</v>
      </c>
      <c r="G201">
        <v>139.19999999999999</v>
      </c>
      <c r="H201">
        <v>142.5</v>
      </c>
      <c r="I201">
        <v>121.4</v>
      </c>
      <c r="J201">
        <v>151.6</v>
      </c>
      <c r="K201">
        <v>155.9</v>
      </c>
      <c r="L201">
        <v>121.7</v>
      </c>
      <c r="M201">
        <v>113.5</v>
      </c>
      <c r="N201">
        <v>138.9</v>
      </c>
      <c r="O201">
        <v>130.30000000000001</v>
      </c>
      <c r="P201">
        <v>152.30000000000001</v>
      </c>
      <c r="Q201">
        <v>141.4</v>
      </c>
      <c r="R201">
        <v>157.5</v>
      </c>
      <c r="S201">
        <v>146.80000000000001</v>
      </c>
      <c r="T201">
        <v>138.4</v>
      </c>
      <c r="U201">
        <v>145.6</v>
      </c>
      <c r="V201">
        <v>143.6</v>
      </c>
      <c r="W201">
        <v>139.69999999999999</v>
      </c>
      <c r="X201">
        <v>138.6</v>
      </c>
      <c r="Y201">
        <v>137</v>
      </c>
      <c r="Z201">
        <v>130.1</v>
      </c>
      <c r="AA201">
        <v>144.69999999999999</v>
      </c>
      <c r="AB201">
        <v>133.1</v>
      </c>
      <c r="AC201">
        <v>123.6</v>
      </c>
      <c r="AD201">
        <v>133.19999999999999</v>
      </c>
      <c r="AE201">
        <v>139.80000000000001</v>
      </c>
    </row>
    <row r="202" spans="1:31" x14ac:dyDescent="0.3">
      <c r="A202" t="s">
        <v>29</v>
      </c>
      <c r="B202">
        <v>2018</v>
      </c>
      <c r="C202" t="s">
        <v>36</v>
      </c>
      <c r="D202">
        <f t="shared" si="4"/>
        <v>7</v>
      </c>
      <c r="E202">
        <v>135.6</v>
      </c>
      <c r="F202">
        <v>148.6</v>
      </c>
      <c r="G202">
        <v>139.1</v>
      </c>
      <c r="H202">
        <v>141</v>
      </c>
      <c r="I202">
        <v>116.7</v>
      </c>
      <c r="J202">
        <v>149.69999999999999</v>
      </c>
      <c r="K202">
        <v>159.19999999999999</v>
      </c>
      <c r="L202">
        <v>112.6</v>
      </c>
      <c r="M202">
        <v>111.8</v>
      </c>
      <c r="N202">
        <v>140.30000000000001</v>
      </c>
      <c r="O202">
        <v>126.8</v>
      </c>
      <c r="P202">
        <v>149.4</v>
      </c>
      <c r="Q202">
        <v>140.30000000000001</v>
      </c>
      <c r="R202">
        <v>161.4</v>
      </c>
      <c r="S202">
        <v>139.6</v>
      </c>
      <c r="T202">
        <v>128.9</v>
      </c>
      <c r="U202">
        <v>137.9</v>
      </c>
      <c r="V202">
        <v>143.6</v>
      </c>
      <c r="W202">
        <v>128.1</v>
      </c>
      <c r="X202">
        <v>133.6</v>
      </c>
      <c r="Y202">
        <v>133.6</v>
      </c>
      <c r="Z202">
        <v>128.19999999999999</v>
      </c>
      <c r="AA202">
        <v>144</v>
      </c>
      <c r="AB202">
        <v>129</v>
      </c>
      <c r="AC202">
        <v>120.1</v>
      </c>
      <c r="AD202">
        <v>130.19999999999999</v>
      </c>
      <c r="AE202">
        <v>137.5</v>
      </c>
    </row>
    <row r="203" spans="1:31" x14ac:dyDescent="0.3">
      <c r="A203" t="s">
        <v>27</v>
      </c>
      <c r="B203">
        <v>2018</v>
      </c>
      <c r="C203" t="s">
        <v>37</v>
      </c>
      <c r="D203">
        <f t="shared" si="4"/>
        <v>8</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s="2">
        <f>'Missing values'!V244</f>
        <v>144.6</v>
      </c>
      <c r="W203">
        <v>147.69999999999999</v>
      </c>
      <c r="X203">
        <v>143.80000000000001</v>
      </c>
      <c r="Y203">
        <v>139.4</v>
      </c>
      <c r="Z203">
        <v>131.30000000000001</v>
      </c>
      <c r="AA203">
        <v>146.9</v>
      </c>
      <c r="AB203">
        <v>138.6</v>
      </c>
      <c r="AC203">
        <v>128.30000000000001</v>
      </c>
      <c r="AD203">
        <v>136.6</v>
      </c>
      <c r="AE203">
        <v>142.5</v>
      </c>
    </row>
    <row r="204" spans="1:31" x14ac:dyDescent="0.3">
      <c r="A204" t="s">
        <v>30</v>
      </c>
      <c r="B204">
        <v>2018</v>
      </c>
      <c r="C204" t="s">
        <v>37</v>
      </c>
      <c r="D204">
        <f t="shared" si="4"/>
        <v>8</v>
      </c>
      <c r="E204">
        <v>138.30000000000001</v>
      </c>
      <c r="F204">
        <v>148</v>
      </c>
      <c r="G204">
        <v>138.1</v>
      </c>
      <c r="H204">
        <v>142.6</v>
      </c>
      <c r="I204">
        <v>122.2</v>
      </c>
      <c r="J204">
        <v>150.6</v>
      </c>
      <c r="K204">
        <v>156.6</v>
      </c>
      <c r="L204">
        <v>122.4</v>
      </c>
      <c r="M204">
        <v>114.7</v>
      </c>
      <c r="N204">
        <v>139.4</v>
      </c>
      <c r="O204">
        <v>131.1</v>
      </c>
      <c r="P204">
        <v>153</v>
      </c>
      <c r="Q204">
        <v>141.69999999999999</v>
      </c>
      <c r="R204">
        <v>157.9</v>
      </c>
      <c r="S204">
        <v>147.30000000000001</v>
      </c>
      <c r="T204">
        <v>138.80000000000001</v>
      </c>
      <c r="U204">
        <v>146.1</v>
      </c>
      <c r="V204">
        <v>144.6</v>
      </c>
      <c r="W204">
        <v>140.9</v>
      </c>
      <c r="X204">
        <v>139.4</v>
      </c>
      <c r="Y204">
        <v>137.69999999999999</v>
      </c>
      <c r="Z204">
        <v>130.1</v>
      </c>
      <c r="AA204">
        <v>146</v>
      </c>
      <c r="AB204">
        <v>133.6</v>
      </c>
      <c r="AC204">
        <v>124.3</v>
      </c>
      <c r="AD204">
        <v>133.9</v>
      </c>
      <c r="AE204">
        <v>140.4</v>
      </c>
    </row>
    <row r="205" spans="1:31" x14ac:dyDescent="0.3">
      <c r="A205" t="s">
        <v>29</v>
      </c>
      <c r="B205">
        <v>2018</v>
      </c>
      <c r="C205" t="s">
        <v>37</v>
      </c>
      <c r="D205">
        <f t="shared" si="4"/>
        <v>8</v>
      </c>
      <c r="E205">
        <v>136.5</v>
      </c>
      <c r="F205">
        <v>146.4</v>
      </c>
      <c r="G205">
        <v>136.6</v>
      </c>
      <c r="H205">
        <v>141.19999999999999</v>
      </c>
      <c r="I205">
        <v>117.4</v>
      </c>
      <c r="J205">
        <v>146.30000000000001</v>
      </c>
      <c r="K205">
        <v>157.30000000000001</v>
      </c>
      <c r="L205">
        <v>113.6</v>
      </c>
      <c r="M205">
        <v>113.3</v>
      </c>
      <c r="N205">
        <v>141.1</v>
      </c>
      <c r="O205">
        <v>127.4</v>
      </c>
      <c r="P205">
        <v>150.4</v>
      </c>
      <c r="Q205">
        <v>140.1</v>
      </c>
      <c r="R205">
        <v>162.1</v>
      </c>
      <c r="S205">
        <v>140</v>
      </c>
      <c r="T205">
        <v>129</v>
      </c>
      <c r="U205">
        <v>138.30000000000001</v>
      </c>
      <c r="V205">
        <v>144.6</v>
      </c>
      <c r="W205">
        <v>129.80000000000001</v>
      </c>
      <c r="X205">
        <v>134.4</v>
      </c>
      <c r="Y205">
        <v>134.9</v>
      </c>
      <c r="Z205">
        <v>128.30000000000001</v>
      </c>
      <c r="AA205">
        <v>145.30000000000001</v>
      </c>
      <c r="AB205">
        <v>129.80000000000001</v>
      </c>
      <c r="AC205">
        <v>120.7</v>
      </c>
      <c r="AD205">
        <v>131</v>
      </c>
      <c r="AE205">
        <v>138</v>
      </c>
    </row>
    <row r="206" spans="1:31" x14ac:dyDescent="0.3">
      <c r="A206" t="s">
        <v>27</v>
      </c>
      <c r="B206">
        <v>2018</v>
      </c>
      <c r="C206" t="s">
        <v>38</v>
      </c>
      <c r="D206">
        <f t="shared" si="4"/>
        <v>9</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s="2">
        <f>'Missing values'!V274</f>
        <v>145.30000000000001</v>
      </c>
      <c r="W206">
        <v>149</v>
      </c>
      <c r="X206">
        <v>144</v>
      </c>
      <c r="Y206">
        <v>140</v>
      </c>
      <c r="Z206">
        <v>132</v>
      </c>
      <c r="AA206">
        <v>147.6</v>
      </c>
      <c r="AB206">
        <v>140</v>
      </c>
      <c r="AC206">
        <v>129.9</v>
      </c>
      <c r="AD206">
        <v>137.4</v>
      </c>
      <c r="AE206">
        <v>142.1</v>
      </c>
    </row>
    <row r="207" spans="1:31" x14ac:dyDescent="0.3">
      <c r="A207" t="s">
        <v>30</v>
      </c>
      <c r="B207">
        <v>2018</v>
      </c>
      <c r="C207" t="s">
        <v>38</v>
      </c>
      <c r="D207">
        <f t="shared" si="4"/>
        <v>9</v>
      </c>
      <c r="E207">
        <v>138.6</v>
      </c>
      <c r="F207">
        <v>145.80000000000001</v>
      </c>
      <c r="G207">
        <v>135.1</v>
      </c>
      <c r="H207">
        <v>142.9</v>
      </c>
      <c r="I207">
        <v>122.1</v>
      </c>
      <c r="J207">
        <v>145.4</v>
      </c>
      <c r="K207">
        <v>150</v>
      </c>
      <c r="L207">
        <v>121.4</v>
      </c>
      <c r="M207">
        <v>113.7</v>
      </c>
      <c r="N207">
        <v>139.5</v>
      </c>
      <c r="O207">
        <v>130.80000000000001</v>
      </c>
      <c r="P207">
        <v>153.80000000000001</v>
      </c>
      <c r="Q207">
        <v>140.4</v>
      </c>
      <c r="R207">
        <v>159.19999999999999</v>
      </c>
      <c r="S207">
        <v>147.69999999999999</v>
      </c>
      <c r="T207">
        <v>139.1</v>
      </c>
      <c r="U207">
        <v>146.5</v>
      </c>
      <c r="V207">
        <v>145.30000000000001</v>
      </c>
      <c r="W207">
        <v>142.30000000000001</v>
      </c>
      <c r="X207">
        <v>139.69999999999999</v>
      </c>
      <c r="Y207">
        <v>138.4</v>
      </c>
      <c r="Z207">
        <v>130.9</v>
      </c>
      <c r="AA207">
        <v>146.19999999999999</v>
      </c>
      <c r="AB207">
        <v>134.5</v>
      </c>
      <c r="AC207">
        <v>126</v>
      </c>
      <c r="AD207">
        <v>134.69999999999999</v>
      </c>
      <c r="AE207">
        <v>140.19999999999999</v>
      </c>
    </row>
    <row r="208" spans="1:31" x14ac:dyDescent="0.3">
      <c r="A208" t="s">
        <v>29</v>
      </c>
      <c r="B208">
        <v>2018</v>
      </c>
      <c r="C208" t="s">
        <v>38</v>
      </c>
      <c r="D208">
        <f t="shared" si="4"/>
        <v>9</v>
      </c>
      <c r="E208">
        <v>137</v>
      </c>
      <c r="F208">
        <v>143.1</v>
      </c>
      <c r="G208">
        <v>132.80000000000001</v>
      </c>
      <c r="H208">
        <v>141.5</v>
      </c>
      <c r="I208">
        <v>117.8</v>
      </c>
      <c r="J208">
        <v>140</v>
      </c>
      <c r="K208">
        <v>151.30000000000001</v>
      </c>
      <c r="L208">
        <v>113.5</v>
      </c>
      <c r="M208">
        <v>112.3</v>
      </c>
      <c r="N208">
        <v>141.19999999999999</v>
      </c>
      <c r="O208">
        <v>127.7</v>
      </c>
      <c r="P208">
        <v>151.30000000000001</v>
      </c>
      <c r="Q208">
        <v>138.9</v>
      </c>
      <c r="R208">
        <v>163.30000000000001</v>
      </c>
      <c r="S208">
        <v>140.80000000000001</v>
      </c>
      <c r="T208">
        <v>129.30000000000001</v>
      </c>
      <c r="U208">
        <v>139.1</v>
      </c>
      <c r="V208">
        <v>145.30000000000001</v>
      </c>
      <c r="W208">
        <v>131.19999999999999</v>
      </c>
      <c r="X208">
        <v>134.9</v>
      </c>
      <c r="Y208">
        <v>135.69999999999999</v>
      </c>
      <c r="Z208">
        <v>129.30000000000001</v>
      </c>
      <c r="AA208">
        <v>145.19999999999999</v>
      </c>
      <c r="AB208">
        <v>130.19999999999999</v>
      </c>
      <c r="AC208">
        <v>122.5</v>
      </c>
      <c r="AD208">
        <v>131.9</v>
      </c>
      <c r="AE208">
        <v>138.1</v>
      </c>
    </row>
    <row r="209" spans="1:31" x14ac:dyDescent="0.3">
      <c r="A209" t="s">
        <v>27</v>
      </c>
      <c r="B209">
        <v>2018</v>
      </c>
      <c r="C209" t="s">
        <v>39</v>
      </c>
      <c r="D209">
        <f t="shared" si="4"/>
        <v>10</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s="2">
        <f>'Missing values'!V304</f>
        <v>146.30000000000001</v>
      </c>
      <c r="W209">
        <v>149.69999999999999</v>
      </c>
      <c r="X209">
        <v>147.5</v>
      </c>
      <c r="Y209">
        <v>144.80000000000001</v>
      </c>
      <c r="Z209">
        <v>134.4</v>
      </c>
      <c r="AA209">
        <v>148</v>
      </c>
      <c r="AB209">
        <v>140.1</v>
      </c>
      <c r="AC209">
        <v>130.80000000000001</v>
      </c>
      <c r="AD209">
        <v>139.80000000000001</v>
      </c>
      <c r="AE209">
        <v>142.19999999999999</v>
      </c>
    </row>
    <row r="210" spans="1:31" x14ac:dyDescent="0.3">
      <c r="A210" t="s">
        <v>30</v>
      </c>
      <c r="B210">
        <v>2018</v>
      </c>
      <c r="C210" t="s">
        <v>39</v>
      </c>
      <c r="D210">
        <f t="shared" si="4"/>
        <v>10</v>
      </c>
      <c r="E210">
        <v>137.4</v>
      </c>
      <c r="F210">
        <v>149.5</v>
      </c>
      <c r="G210">
        <v>137.30000000000001</v>
      </c>
      <c r="H210">
        <v>141.9</v>
      </c>
      <c r="I210">
        <v>121.1</v>
      </c>
      <c r="J210">
        <v>142.5</v>
      </c>
      <c r="K210">
        <v>146.69999999999999</v>
      </c>
      <c r="L210">
        <v>119.1</v>
      </c>
      <c r="M210">
        <v>111.9</v>
      </c>
      <c r="N210">
        <v>141</v>
      </c>
      <c r="O210">
        <v>133.6</v>
      </c>
      <c r="P210">
        <v>154.5</v>
      </c>
      <c r="Q210">
        <v>139.69999999999999</v>
      </c>
      <c r="R210">
        <v>162.6</v>
      </c>
      <c r="S210">
        <v>148</v>
      </c>
      <c r="T210">
        <v>139.19999999999999</v>
      </c>
      <c r="U210">
        <v>146.80000000000001</v>
      </c>
      <c r="V210">
        <v>146.9</v>
      </c>
      <c r="W210">
        <v>145.30000000000001</v>
      </c>
      <c r="X210">
        <v>142.19999999999999</v>
      </c>
      <c r="Y210">
        <v>142.1</v>
      </c>
      <c r="Z210">
        <v>132</v>
      </c>
      <c r="AA210">
        <v>147.80000000000001</v>
      </c>
      <c r="AB210">
        <v>136.5</v>
      </c>
      <c r="AC210">
        <v>125.5</v>
      </c>
      <c r="AD210">
        <v>136.30000000000001</v>
      </c>
      <c r="AE210">
        <v>140.80000000000001</v>
      </c>
    </row>
    <row r="211" spans="1:31" x14ac:dyDescent="0.3">
      <c r="A211" t="s">
        <v>29</v>
      </c>
      <c r="B211">
        <v>2018</v>
      </c>
      <c r="C211" t="s">
        <v>39</v>
      </c>
      <c r="D211">
        <f t="shared" si="4"/>
        <v>10</v>
      </c>
      <c r="E211">
        <v>137.6</v>
      </c>
      <c r="F211">
        <v>144.9</v>
      </c>
      <c r="G211">
        <v>133.5</v>
      </c>
      <c r="H211">
        <v>141.5</v>
      </c>
      <c r="I211">
        <v>118</v>
      </c>
      <c r="J211">
        <v>139.5</v>
      </c>
      <c r="K211">
        <v>153</v>
      </c>
      <c r="L211">
        <v>113.2</v>
      </c>
      <c r="M211">
        <v>112.8</v>
      </c>
      <c r="N211">
        <v>141.1</v>
      </c>
      <c r="O211">
        <v>127.6</v>
      </c>
      <c r="P211">
        <v>152</v>
      </c>
      <c r="Q211">
        <v>139.4</v>
      </c>
      <c r="R211">
        <v>164</v>
      </c>
      <c r="S211">
        <v>141.5</v>
      </c>
      <c r="T211">
        <v>129.80000000000001</v>
      </c>
      <c r="U211">
        <v>139.69999999999999</v>
      </c>
      <c r="V211">
        <v>146.30000000000001</v>
      </c>
      <c r="W211">
        <v>133.4</v>
      </c>
      <c r="X211">
        <v>135.1</v>
      </c>
      <c r="Y211">
        <v>136.19999999999999</v>
      </c>
      <c r="Z211">
        <v>130.4</v>
      </c>
      <c r="AA211">
        <v>145.5</v>
      </c>
      <c r="AB211">
        <v>130.69999999999999</v>
      </c>
      <c r="AC211">
        <v>123.3</v>
      </c>
      <c r="AD211">
        <v>132.5</v>
      </c>
      <c r="AE211">
        <v>138.9</v>
      </c>
    </row>
    <row r="212" spans="1:31" x14ac:dyDescent="0.3">
      <c r="A212" t="s">
        <v>27</v>
      </c>
      <c r="B212">
        <v>2018</v>
      </c>
      <c r="C212" t="s">
        <v>41</v>
      </c>
      <c r="D212">
        <f t="shared" si="4"/>
        <v>11</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s="2">
        <f>'Missing values'!V334</f>
        <v>146.9</v>
      </c>
      <c r="W212">
        <v>150.30000000000001</v>
      </c>
      <c r="X212">
        <v>148</v>
      </c>
      <c r="Y212">
        <v>145.4</v>
      </c>
      <c r="Z212">
        <v>133.1</v>
      </c>
      <c r="AA212">
        <v>150.19999999999999</v>
      </c>
      <c r="AB212">
        <v>143.1</v>
      </c>
      <c r="AC212">
        <v>130.30000000000001</v>
      </c>
      <c r="AD212">
        <v>140.1</v>
      </c>
      <c r="AE212">
        <v>142.4</v>
      </c>
    </row>
    <row r="213" spans="1:31" x14ac:dyDescent="0.3">
      <c r="A213" t="s">
        <v>30</v>
      </c>
      <c r="B213">
        <v>2018</v>
      </c>
      <c r="C213" t="s">
        <v>41</v>
      </c>
      <c r="D213">
        <f t="shared" si="4"/>
        <v>11</v>
      </c>
      <c r="E213">
        <v>137.4</v>
      </c>
      <c r="F213">
        <v>149.19999999999999</v>
      </c>
      <c r="G213">
        <v>137.1</v>
      </c>
      <c r="H213">
        <v>141.80000000000001</v>
      </c>
      <c r="I213">
        <v>121.1</v>
      </c>
      <c r="J213">
        <v>142.80000000000001</v>
      </c>
      <c r="K213">
        <v>146.69999999999999</v>
      </c>
      <c r="L213">
        <v>119.1</v>
      </c>
      <c r="M213">
        <v>111.9</v>
      </c>
      <c r="N213">
        <v>140.9</v>
      </c>
      <c r="O213">
        <v>133.5</v>
      </c>
      <c r="P213">
        <v>154.5</v>
      </c>
      <c r="Q213">
        <v>139.69999999999999</v>
      </c>
      <c r="R213">
        <v>162.6</v>
      </c>
      <c r="S213">
        <v>148</v>
      </c>
      <c r="T213">
        <v>139.1</v>
      </c>
      <c r="U213">
        <v>146.69999999999999</v>
      </c>
      <c r="V213">
        <v>146.9</v>
      </c>
      <c r="W213">
        <v>145.1</v>
      </c>
      <c r="X213">
        <v>142.19999999999999</v>
      </c>
      <c r="Y213">
        <v>142.1</v>
      </c>
      <c r="Z213">
        <v>132</v>
      </c>
      <c r="AA213">
        <v>147.80000000000001</v>
      </c>
      <c r="AB213">
        <v>136.5</v>
      </c>
      <c r="AC213">
        <v>125.5</v>
      </c>
      <c r="AD213">
        <v>136.30000000000001</v>
      </c>
      <c r="AE213">
        <v>140.80000000000001</v>
      </c>
    </row>
    <row r="214" spans="1:31" x14ac:dyDescent="0.3">
      <c r="A214" t="s">
        <v>29</v>
      </c>
      <c r="B214">
        <v>2018</v>
      </c>
      <c r="C214" t="s">
        <v>41</v>
      </c>
      <c r="D214">
        <f t="shared" si="4"/>
        <v>11</v>
      </c>
      <c r="E214">
        <v>138.1</v>
      </c>
      <c r="F214">
        <v>146.30000000000001</v>
      </c>
      <c r="G214">
        <v>137.80000000000001</v>
      </c>
      <c r="H214">
        <v>141.6</v>
      </c>
      <c r="I214">
        <v>118.1</v>
      </c>
      <c r="J214">
        <v>141.5</v>
      </c>
      <c r="K214">
        <v>145.19999999999999</v>
      </c>
      <c r="L214">
        <v>115.3</v>
      </c>
      <c r="M214">
        <v>112.5</v>
      </c>
      <c r="N214">
        <v>141.4</v>
      </c>
      <c r="O214">
        <v>128</v>
      </c>
      <c r="P214">
        <v>152.6</v>
      </c>
      <c r="Q214">
        <v>139.1</v>
      </c>
      <c r="R214">
        <v>164.4</v>
      </c>
      <c r="S214">
        <v>142.4</v>
      </c>
      <c r="T214">
        <v>130.19999999999999</v>
      </c>
      <c r="U214">
        <v>140.5</v>
      </c>
      <c r="V214">
        <v>146.9</v>
      </c>
      <c r="W214">
        <v>136.69999999999999</v>
      </c>
      <c r="X214">
        <v>135.80000000000001</v>
      </c>
      <c r="Y214">
        <v>136.80000000000001</v>
      </c>
      <c r="Z214">
        <v>130.5</v>
      </c>
      <c r="AA214">
        <v>146.1</v>
      </c>
      <c r="AB214">
        <v>131.30000000000001</v>
      </c>
      <c r="AC214">
        <v>121.2</v>
      </c>
      <c r="AD214">
        <v>132.19999999999999</v>
      </c>
      <c r="AE214">
        <v>139</v>
      </c>
    </row>
    <row r="215" spans="1:31" x14ac:dyDescent="0.3">
      <c r="A215" t="s">
        <v>27</v>
      </c>
      <c r="B215">
        <v>2018</v>
      </c>
      <c r="C215" t="s">
        <v>42</v>
      </c>
      <c r="D215">
        <f t="shared" si="4"/>
        <v>12</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s="2">
        <f>'Missing values'!V364</f>
        <v>146.5</v>
      </c>
      <c r="W215">
        <v>149</v>
      </c>
      <c r="X215">
        <v>149.5</v>
      </c>
      <c r="Y215">
        <v>149.6</v>
      </c>
      <c r="Z215">
        <v>133.19999999999999</v>
      </c>
      <c r="AA215">
        <v>155.1</v>
      </c>
      <c r="AB215">
        <v>143.30000000000001</v>
      </c>
      <c r="AC215">
        <v>128.9</v>
      </c>
      <c r="AD215">
        <v>141.6</v>
      </c>
      <c r="AE215">
        <v>141.9</v>
      </c>
    </row>
    <row r="216" spans="1:31" x14ac:dyDescent="0.3">
      <c r="A216" t="s">
        <v>30</v>
      </c>
      <c r="B216">
        <v>2018</v>
      </c>
      <c r="C216" t="s">
        <v>42</v>
      </c>
      <c r="D216">
        <f t="shared" si="4"/>
        <v>12</v>
      </c>
      <c r="E216">
        <v>137.5</v>
      </c>
      <c r="F216">
        <v>150.5</v>
      </c>
      <c r="G216">
        <v>138.80000000000001</v>
      </c>
      <c r="H216">
        <v>142.1</v>
      </c>
      <c r="I216">
        <v>122</v>
      </c>
      <c r="J216">
        <v>139.4</v>
      </c>
      <c r="K216">
        <v>135.19999999999999</v>
      </c>
      <c r="L216">
        <v>119.8</v>
      </c>
      <c r="M216">
        <v>110.3</v>
      </c>
      <c r="N216">
        <v>140.6</v>
      </c>
      <c r="O216">
        <v>133.80000000000001</v>
      </c>
      <c r="P216">
        <v>154.6</v>
      </c>
      <c r="Q216">
        <v>138.19999999999999</v>
      </c>
      <c r="R216">
        <v>163</v>
      </c>
      <c r="S216">
        <v>148.1</v>
      </c>
      <c r="T216">
        <v>139.4</v>
      </c>
      <c r="U216">
        <v>146.80000000000001</v>
      </c>
      <c r="V216">
        <v>146.5</v>
      </c>
      <c r="W216">
        <v>142.69999999999999</v>
      </c>
      <c r="X216">
        <v>143.19999999999999</v>
      </c>
      <c r="Y216">
        <v>144.9</v>
      </c>
      <c r="Z216">
        <v>132.19999999999999</v>
      </c>
      <c r="AA216">
        <v>150.1</v>
      </c>
      <c r="AB216">
        <v>136.80000000000001</v>
      </c>
      <c r="AC216">
        <v>123.6</v>
      </c>
      <c r="AD216">
        <v>136.80000000000001</v>
      </c>
      <c r="AE216">
        <v>140.1</v>
      </c>
    </row>
    <row r="217" spans="1:31" x14ac:dyDescent="0.3">
      <c r="A217" t="s">
        <v>29</v>
      </c>
      <c r="B217">
        <v>2018</v>
      </c>
      <c r="C217" t="s">
        <v>42</v>
      </c>
      <c r="D217">
        <f t="shared" si="4"/>
        <v>12</v>
      </c>
      <c r="E217">
        <v>138.5</v>
      </c>
      <c r="F217">
        <v>147.80000000000001</v>
      </c>
      <c r="G217">
        <v>141.1</v>
      </c>
      <c r="H217">
        <v>141.6</v>
      </c>
      <c r="I217">
        <v>118.1</v>
      </c>
      <c r="J217">
        <v>138.5</v>
      </c>
      <c r="K217">
        <v>132.4</v>
      </c>
      <c r="L217">
        <v>117.5</v>
      </c>
      <c r="M217">
        <v>111</v>
      </c>
      <c r="N217">
        <v>141.5</v>
      </c>
      <c r="O217">
        <v>128.1</v>
      </c>
      <c r="P217">
        <v>152.9</v>
      </c>
      <c r="Q217">
        <v>137.6</v>
      </c>
      <c r="R217">
        <v>164.6</v>
      </c>
      <c r="S217">
        <v>142.69999999999999</v>
      </c>
      <c r="T217">
        <v>130.30000000000001</v>
      </c>
      <c r="U217">
        <v>140.80000000000001</v>
      </c>
      <c r="V217">
        <v>146.5</v>
      </c>
      <c r="W217">
        <v>132.4</v>
      </c>
      <c r="X217">
        <v>136.19999999999999</v>
      </c>
      <c r="Y217">
        <v>137.30000000000001</v>
      </c>
      <c r="Z217">
        <v>130.80000000000001</v>
      </c>
      <c r="AA217">
        <v>146.5</v>
      </c>
      <c r="AB217">
        <v>131.69999999999999</v>
      </c>
      <c r="AC217">
        <v>118.8</v>
      </c>
      <c r="AD217">
        <v>131.69999999999999</v>
      </c>
      <c r="AE217">
        <v>138</v>
      </c>
    </row>
    <row r="218" spans="1:31" x14ac:dyDescent="0.3">
      <c r="A218" t="s">
        <v>27</v>
      </c>
      <c r="B218">
        <v>2019</v>
      </c>
      <c r="C218" t="s">
        <v>28</v>
      </c>
      <c r="D218">
        <f t="shared" si="4"/>
        <v>1</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s="2">
        <f>'Missing values'!V25</f>
        <v>147.69999999999999</v>
      </c>
      <c r="W218">
        <v>146.19999999999999</v>
      </c>
      <c r="X218">
        <v>150.1</v>
      </c>
      <c r="Y218">
        <v>149.6</v>
      </c>
      <c r="Z218">
        <v>133.5</v>
      </c>
      <c r="AA218">
        <v>155.19999999999999</v>
      </c>
      <c r="AB218">
        <v>142.9</v>
      </c>
      <c r="AC218">
        <v>128.6</v>
      </c>
      <c r="AD218">
        <v>141.69999999999999</v>
      </c>
      <c r="AE218">
        <v>141</v>
      </c>
    </row>
    <row r="219" spans="1:31" x14ac:dyDescent="0.3">
      <c r="A219" t="s">
        <v>30</v>
      </c>
      <c r="B219">
        <v>2019</v>
      </c>
      <c r="C219" t="s">
        <v>28</v>
      </c>
      <c r="D219">
        <f t="shared" si="4"/>
        <v>1</v>
      </c>
      <c r="E219">
        <v>137.1</v>
      </c>
      <c r="F219">
        <v>151.4</v>
      </c>
      <c r="G219">
        <v>140.19999999999999</v>
      </c>
      <c r="H219">
        <v>142.1</v>
      </c>
      <c r="I219">
        <v>121.8</v>
      </c>
      <c r="J219">
        <v>135.4</v>
      </c>
      <c r="K219">
        <v>131.30000000000001</v>
      </c>
      <c r="L219">
        <v>120.3</v>
      </c>
      <c r="M219">
        <v>109.1</v>
      </c>
      <c r="N219">
        <v>139.4</v>
      </c>
      <c r="O219">
        <v>133.30000000000001</v>
      </c>
      <c r="P219">
        <v>154.6</v>
      </c>
      <c r="Q219">
        <v>137.4</v>
      </c>
      <c r="R219">
        <v>163.19999999999999</v>
      </c>
      <c r="S219">
        <v>147.6</v>
      </c>
      <c r="T219">
        <v>139</v>
      </c>
      <c r="U219">
        <v>146.4</v>
      </c>
      <c r="V219">
        <v>147.69999999999999</v>
      </c>
      <c r="W219">
        <v>139.5</v>
      </c>
      <c r="X219">
        <v>143.6</v>
      </c>
      <c r="Y219">
        <v>145.1</v>
      </c>
      <c r="Z219">
        <v>132.80000000000001</v>
      </c>
      <c r="AA219">
        <v>150.19999999999999</v>
      </c>
      <c r="AB219">
        <v>136.69999999999999</v>
      </c>
      <c r="AC219">
        <v>123.3</v>
      </c>
      <c r="AD219">
        <v>136.9</v>
      </c>
      <c r="AE219">
        <v>139.6</v>
      </c>
    </row>
    <row r="220" spans="1:31" x14ac:dyDescent="0.3">
      <c r="A220" t="s">
        <v>29</v>
      </c>
      <c r="B220">
        <v>2019</v>
      </c>
      <c r="C220" t="s">
        <v>28</v>
      </c>
      <c r="D220">
        <f t="shared" si="4"/>
        <v>1</v>
      </c>
      <c r="E220">
        <v>138.30000000000001</v>
      </c>
      <c r="F220">
        <v>149.4</v>
      </c>
      <c r="G220">
        <v>143.5</v>
      </c>
      <c r="H220">
        <v>141.69999999999999</v>
      </c>
      <c r="I220">
        <v>118.1</v>
      </c>
      <c r="J220">
        <v>135.19999999999999</v>
      </c>
      <c r="K220">
        <v>130.5</v>
      </c>
      <c r="L220">
        <v>118.2</v>
      </c>
      <c r="M220">
        <v>110.4</v>
      </c>
      <c r="N220">
        <v>140.4</v>
      </c>
      <c r="O220">
        <v>128.1</v>
      </c>
      <c r="P220">
        <v>153.19999999999999</v>
      </c>
      <c r="Q220">
        <v>137.30000000000001</v>
      </c>
      <c r="R220">
        <v>164.7</v>
      </c>
      <c r="S220">
        <v>143</v>
      </c>
      <c r="T220">
        <v>130.4</v>
      </c>
      <c r="U220">
        <v>141.1</v>
      </c>
      <c r="V220">
        <v>147.69999999999999</v>
      </c>
      <c r="W220">
        <v>128.6</v>
      </c>
      <c r="X220">
        <v>136.30000000000001</v>
      </c>
      <c r="Y220">
        <v>137.80000000000001</v>
      </c>
      <c r="Z220">
        <v>131.69999999999999</v>
      </c>
      <c r="AA220">
        <v>146.6</v>
      </c>
      <c r="AB220">
        <v>131.9</v>
      </c>
      <c r="AC220">
        <v>118.6</v>
      </c>
      <c r="AD220">
        <v>131.80000000000001</v>
      </c>
      <c r="AE220">
        <v>138</v>
      </c>
    </row>
    <row r="221" spans="1:31" x14ac:dyDescent="0.3">
      <c r="A221" t="s">
        <v>27</v>
      </c>
      <c r="B221">
        <v>2019</v>
      </c>
      <c r="C221" t="s">
        <v>31</v>
      </c>
      <c r="D221">
        <f t="shared" si="4"/>
        <v>2</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s="2">
        <f>'Missing values'!V58</f>
        <v>148.5</v>
      </c>
      <c r="W221">
        <v>145.30000000000001</v>
      </c>
      <c r="X221">
        <v>150.1</v>
      </c>
      <c r="Y221">
        <v>149.9</v>
      </c>
      <c r="Z221">
        <v>134.9</v>
      </c>
      <c r="AA221">
        <v>155.5</v>
      </c>
      <c r="AB221">
        <v>143.4</v>
      </c>
      <c r="AC221">
        <v>129.19999999999999</v>
      </c>
      <c r="AD221">
        <v>142.19999999999999</v>
      </c>
      <c r="AE221">
        <v>141</v>
      </c>
    </row>
    <row r="222" spans="1:31" x14ac:dyDescent="0.3">
      <c r="A222" t="s">
        <v>30</v>
      </c>
      <c r="B222">
        <v>2019</v>
      </c>
      <c r="C222" t="s">
        <v>31</v>
      </c>
      <c r="D222">
        <f t="shared" si="4"/>
        <v>2</v>
      </c>
      <c r="E222">
        <v>137.6</v>
      </c>
      <c r="F222">
        <v>152</v>
      </c>
      <c r="G222">
        <v>141.5</v>
      </c>
      <c r="H222">
        <v>142.19999999999999</v>
      </c>
      <c r="I222">
        <v>122</v>
      </c>
      <c r="J222">
        <v>136.4</v>
      </c>
      <c r="K222">
        <v>129.69999999999999</v>
      </c>
      <c r="L222">
        <v>121</v>
      </c>
      <c r="M222">
        <v>109</v>
      </c>
      <c r="N222">
        <v>139.69999999999999</v>
      </c>
      <c r="O222">
        <v>133.6</v>
      </c>
      <c r="P222">
        <v>154.9</v>
      </c>
      <c r="Q222">
        <v>137.5</v>
      </c>
      <c r="R222">
        <v>163.4</v>
      </c>
      <c r="S222">
        <v>147.69999999999999</v>
      </c>
      <c r="T222">
        <v>139.69999999999999</v>
      </c>
      <c r="U222">
        <v>146.5</v>
      </c>
      <c r="V222">
        <v>148.5</v>
      </c>
      <c r="W222">
        <v>138.4</v>
      </c>
      <c r="X222">
        <v>143.69999999999999</v>
      </c>
      <c r="Y222">
        <v>145.6</v>
      </c>
      <c r="Z222">
        <v>134.1</v>
      </c>
      <c r="AA222">
        <v>150.30000000000001</v>
      </c>
      <c r="AB222">
        <v>137.1</v>
      </c>
      <c r="AC222">
        <v>123.9</v>
      </c>
      <c r="AD222">
        <v>137.4</v>
      </c>
      <c r="AE222">
        <v>139.9</v>
      </c>
    </row>
    <row r="223" spans="1:31" x14ac:dyDescent="0.3">
      <c r="A223" t="s">
        <v>29</v>
      </c>
      <c r="B223">
        <v>2019</v>
      </c>
      <c r="C223" t="s">
        <v>31</v>
      </c>
      <c r="D223">
        <f t="shared" si="4"/>
        <v>2</v>
      </c>
      <c r="E223">
        <v>139.4</v>
      </c>
      <c r="F223">
        <v>150.1</v>
      </c>
      <c r="G223">
        <v>145.30000000000001</v>
      </c>
      <c r="H223">
        <v>141.69999999999999</v>
      </c>
      <c r="I223">
        <v>118.4</v>
      </c>
      <c r="J223">
        <v>137</v>
      </c>
      <c r="K223">
        <v>131.6</v>
      </c>
      <c r="L223">
        <v>119.9</v>
      </c>
      <c r="M223">
        <v>110.4</v>
      </c>
      <c r="N223">
        <v>140.80000000000001</v>
      </c>
      <c r="O223">
        <v>128.30000000000001</v>
      </c>
      <c r="P223">
        <v>153.5</v>
      </c>
      <c r="Q223">
        <v>138</v>
      </c>
      <c r="R223">
        <v>164.9</v>
      </c>
      <c r="S223">
        <v>143.30000000000001</v>
      </c>
      <c r="T223">
        <v>130.80000000000001</v>
      </c>
      <c r="U223">
        <v>141.4</v>
      </c>
      <c r="V223">
        <v>148.5</v>
      </c>
      <c r="W223">
        <v>127.1</v>
      </c>
      <c r="X223">
        <v>136.6</v>
      </c>
      <c r="Y223">
        <v>138.5</v>
      </c>
      <c r="Z223">
        <v>133</v>
      </c>
      <c r="AA223">
        <v>146.6</v>
      </c>
      <c r="AB223">
        <v>132.19999999999999</v>
      </c>
      <c r="AC223">
        <v>119.2</v>
      </c>
      <c r="AD223">
        <v>132.4</v>
      </c>
      <c r="AE223">
        <v>138.6</v>
      </c>
    </row>
    <row r="224" spans="1:31" x14ac:dyDescent="0.3">
      <c r="A224" t="s">
        <v>27</v>
      </c>
      <c r="B224">
        <v>2019</v>
      </c>
      <c r="C224" t="s">
        <v>32</v>
      </c>
      <c r="D224">
        <f t="shared" si="4"/>
        <v>3</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s="2">
        <f>'Missing values'!V91</f>
        <v>149</v>
      </c>
      <c r="W224">
        <v>146.4</v>
      </c>
      <c r="X224">
        <v>150</v>
      </c>
      <c r="Y224">
        <v>150.4</v>
      </c>
      <c r="Z224">
        <v>134</v>
      </c>
      <c r="AA224">
        <v>155.5</v>
      </c>
      <c r="AB224">
        <v>143.80000000000001</v>
      </c>
      <c r="AC224">
        <v>129.9</v>
      </c>
      <c r="AD224">
        <v>142.4</v>
      </c>
      <c r="AE224">
        <v>141.19999999999999</v>
      </c>
    </row>
    <row r="225" spans="1:31" x14ac:dyDescent="0.3">
      <c r="A225" t="s">
        <v>30</v>
      </c>
      <c r="B225">
        <v>2019</v>
      </c>
      <c r="C225" t="s">
        <v>32</v>
      </c>
      <c r="D225">
        <f t="shared" si="4"/>
        <v>3</v>
      </c>
      <c r="E225">
        <v>137.80000000000001</v>
      </c>
      <c r="F225">
        <v>153</v>
      </c>
      <c r="G225">
        <v>140.30000000000001</v>
      </c>
      <c r="H225">
        <v>142.30000000000001</v>
      </c>
      <c r="I225">
        <v>122</v>
      </c>
      <c r="J225">
        <v>137.6</v>
      </c>
      <c r="K225">
        <v>132.6</v>
      </c>
      <c r="L225">
        <v>121.8</v>
      </c>
      <c r="M225">
        <v>109</v>
      </c>
      <c r="N225">
        <v>139.5</v>
      </c>
      <c r="O225">
        <v>133.69999999999999</v>
      </c>
      <c r="P225">
        <v>155.19999999999999</v>
      </c>
      <c r="Q225">
        <v>138.1</v>
      </c>
      <c r="R225">
        <v>163.5</v>
      </c>
      <c r="S225">
        <v>147.9</v>
      </c>
      <c r="T225">
        <v>139.9</v>
      </c>
      <c r="U225">
        <v>146.69999999999999</v>
      </c>
      <c r="V225">
        <v>149</v>
      </c>
      <c r="W225">
        <v>139.69999999999999</v>
      </c>
      <c r="X225">
        <v>143.80000000000001</v>
      </c>
      <c r="Y225">
        <v>146.19999999999999</v>
      </c>
      <c r="Z225">
        <v>133.4</v>
      </c>
      <c r="AA225">
        <v>150.30000000000001</v>
      </c>
      <c r="AB225">
        <v>137.69999999999999</v>
      </c>
      <c r="AC225">
        <v>124.6</v>
      </c>
      <c r="AD225">
        <v>137.69999999999999</v>
      </c>
      <c r="AE225">
        <v>140.4</v>
      </c>
    </row>
    <row r="226" spans="1:31" x14ac:dyDescent="0.3">
      <c r="A226" t="s">
        <v>29</v>
      </c>
      <c r="B226">
        <v>2019</v>
      </c>
      <c r="C226" t="s">
        <v>32</v>
      </c>
      <c r="D226">
        <f t="shared" si="4"/>
        <v>3</v>
      </c>
      <c r="E226">
        <v>139.69999999999999</v>
      </c>
      <c r="F226">
        <v>151.1</v>
      </c>
      <c r="G226">
        <v>142.9</v>
      </c>
      <c r="H226">
        <v>141.9</v>
      </c>
      <c r="I226">
        <v>118.4</v>
      </c>
      <c r="J226">
        <v>139.4</v>
      </c>
      <c r="K226">
        <v>141.19999999999999</v>
      </c>
      <c r="L226">
        <v>120.7</v>
      </c>
      <c r="M226">
        <v>110.4</v>
      </c>
      <c r="N226">
        <v>140.69999999999999</v>
      </c>
      <c r="O226">
        <v>128.5</v>
      </c>
      <c r="P226">
        <v>153.9</v>
      </c>
      <c r="Q226">
        <v>139.6</v>
      </c>
      <c r="R226">
        <v>165.3</v>
      </c>
      <c r="S226">
        <v>143.5</v>
      </c>
      <c r="T226">
        <v>131.19999999999999</v>
      </c>
      <c r="U226">
        <v>141.6</v>
      </c>
      <c r="V226">
        <v>149</v>
      </c>
      <c r="W226">
        <v>128.80000000000001</v>
      </c>
      <c r="X226">
        <v>136.80000000000001</v>
      </c>
      <c r="Y226">
        <v>139.19999999999999</v>
      </c>
      <c r="Z226">
        <v>132.5</v>
      </c>
      <c r="AA226">
        <v>146.69999999999999</v>
      </c>
      <c r="AB226">
        <v>133</v>
      </c>
      <c r="AC226">
        <v>119.9</v>
      </c>
      <c r="AD226">
        <v>132.80000000000001</v>
      </c>
      <c r="AE226">
        <v>139.5</v>
      </c>
    </row>
    <row r="227" spans="1:31" x14ac:dyDescent="0.3">
      <c r="A227" t="s">
        <v>27</v>
      </c>
      <c r="B227">
        <v>2019</v>
      </c>
      <c r="C227" t="s">
        <v>34</v>
      </c>
      <c r="D227">
        <f t="shared" si="4"/>
        <v>5</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s="2">
        <f>'Missing values'!V154</f>
        <v>150.1</v>
      </c>
      <c r="W227">
        <v>146.9</v>
      </c>
      <c r="X227">
        <v>149.5</v>
      </c>
      <c r="Y227">
        <v>151.30000000000001</v>
      </c>
      <c r="Z227">
        <v>133.9</v>
      </c>
      <c r="AA227">
        <v>156.69999999999999</v>
      </c>
      <c r="AB227">
        <v>145.9</v>
      </c>
      <c r="AC227">
        <v>130.19999999999999</v>
      </c>
      <c r="AD227">
        <v>142.9</v>
      </c>
      <c r="AE227">
        <v>142.4</v>
      </c>
    </row>
    <row r="228" spans="1:31" x14ac:dyDescent="0.3">
      <c r="A228" t="s">
        <v>30</v>
      </c>
      <c r="B228">
        <v>2019</v>
      </c>
      <c r="C228" t="s">
        <v>34</v>
      </c>
      <c r="D228">
        <f t="shared" si="4"/>
        <v>5</v>
      </c>
      <c r="E228">
        <v>138.30000000000001</v>
      </c>
      <c r="F228">
        <v>158.5</v>
      </c>
      <c r="G228">
        <v>136</v>
      </c>
      <c r="H228">
        <v>142.5</v>
      </c>
      <c r="I228">
        <v>122</v>
      </c>
      <c r="J228">
        <v>146.5</v>
      </c>
      <c r="K228">
        <v>143</v>
      </c>
      <c r="L228">
        <v>124.9</v>
      </c>
      <c r="M228">
        <v>109.9</v>
      </c>
      <c r="N228">
        <v>139.9</v>
      </c>
      <c r="O228">
        <v>134</v>
      </c>
      <c r="P228">
        <v>155.5</v>
      </c>
      <c r="Q228">
        <v>140.9</v>
      </c>
      <c r="R228">
        <v>164.1</v>
      </c>
      <c r="S228">
        <v>148.4</v>
      </c>
      <c r="T228">
        <v>140.4</v>
      </c>
      <c r="U228">
        <v>147.30000000000001</v>
      </c>
      <c r="V228">
        <v>150.1</v>
      </c>
      <c r="W228">
        <v>140.30000000000001</v>
      </c>
      <c r="X228">
        <v>143.69999999999999</v>
      </c>
      <c r="Y228">
        <v>146.9</v>
      </c>
      <c r="Z228">
        <v>133.4</v>
      </c>
      <c r="AA228">
        <v>151.6</v>
      </c>
      <c r="AB228">
        <v>139.19999999999999</v>
      </c>
      <c r="AC228">
        <v>124.9</v>
      </c>
      <c r="AD228">
        <v>138.19999999999999</v>
      </c>
      <c r="AE228">
        <v>142</v>
      </c>
    </row>
    <row r="229" spans="1:31" x14ac:dyDescent="0.3">
      <c r="A229" t="s">
        <v>29</v>
      </c>
      <c r="B229">
        <v>2019</v>
      </c>
      <c r="C229" t="s">
        <v>34</v>
      </c>
      <c r="D229">
        <f t="shared" si="4"/>
        <v>5</v>
      </c>
      <c r="E229">
        <v>140.4</v>
      </c>
      <c r="F229">
        <v>156.69999999999999</v>
      </c>
      <c r="G229">
        <v>138.30000000000001</v>
      </c>
      <c r="H229">
        <v>142.4</v>
      </c>
      <c r="I229">
        <v>118.6</v>
      </c>
      <c r="J229">
        <v>149.69999999999999</v>
      </c>
      <c r="K229">
        <v>161.6</v>
      </c>
      <c r="L229">
        <v>124.4</v>
      </c>
      <c r="M229">
        <v>111.2</v>
      </c>
      <c r="N229">
        <v>141</v>
      </c>
      <c r="O229">
        <v>128.9</v>
      </c>
      <c r="P229">
        <v>154.5</v>
      </c>
      <c r="Q229">
        <v>143.80000000000001</v>
      </c>
      <c r="R229">
        <v>166.2</v>
      </c>
      <c r="S229">
        <v>144</v>
      </c>
      <c r="T229">
        <v>131.69999999999999</v>
      </c>
      <c r="U229">
        <v>142.19999999999999</v>
      </c>
      <c r="V229">
        <v>150.1</v>
      </c>
      <c r="W229">
        <v>129.4</v>
      </c>
      <c r="X229">
        <v>137.19999999999999</v>
      </c>
      <c r="Y229">
        <v>139.80000000000001</v>
      </c>
      <c r="Z229">
        <v>132.6</v>
      </c>
      <c r="AA229">
        <v>148</v>
      </c>
      <c r="AB229">
        <v>134</v>
      </c>
      <c r="AC229">
        <v>120.1</v>
      </c>
      <c r="AD229">
        <v>133.30000000000001</v>
      </c>
      <c r="AE229">
        <v>141.5</v>
      </c>
    </row>
    <row r="230" spans="1:31" x14ac:dyDescent="0.3">
      <c r="A230" t="s">
        <v>27</v>
      </c>
      <c r="B230">
        <v>2019</v>
      </c>
      <c r="C230" t="s">
        <v>35</v>
      </c>
      <c r="D230">
        <f t="shared" si="4"/>
        <v>6</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s="2">
        <f>'Missing values'!V187</f>
        <v>149.4</v>
      </c>
      <c r="W230">
        <v>147.80000000000001</v>
      </c>
      <c r="X230">
        <v>149.6</v>
      </c>
      <c r="Y230">
        <v>151.69999999999999</v>
      </c>
      <c r="Z230">
        <v>134.80000000000001</v>
      </c>
      <c r="AA230">
        <v>157.69999999999999</v>
      </c>
      <c r="AB230">
        <v>146.4</v>
      </c>
      <c r="AC230">
        <v>130.19999999999999</v>
      </c>
      <c r="AD230">
        <v>143.30000000000001</v>
      </c>
      <c r="AE230">
        <v>143.6</v>
      </c>
    </row>
    <row r="231" spans="1:31" x14ac:dyDescent="0.3">
      <c r="A231" t="s">
        <v>30</v>
      </c>
      <c r="B231">
        <v>2019</v>
      </c>
      <c r="C231" t="s">
        <v>35</v>
      </c>
      <c r="D231">
        <f t="shared" si="4"/>
        <v>6</v>
      </c>
      <c r="E231">
        <v>138.69999999999999</v>
      </c>
      <c r="F231">
        <v>162.1</v>
      </c>
      <c r="G231">
        <v>137.80000000000001</v>
      </c>
      <c r="H231">
        <v>143.30000000000001</v>
      </c>
      <c r="I231">
        <v>122.2</v>
      </c>
      <c r="J231">
        <v>146.80000000000001</v>
      </c>
      <c r="K231">
        <v>150.5</v>
      </c>
      <c r="L231">
        <v>128.30000000000001</v>
      </c>
      <c r="M231">
        <v>111</v>
      </c>
      <c r="N231">
        <v>140.6</v>
      </c>
      <c r="O231">
        <v>134.19999999999999</v>
      </c>
      <c r="P231">
        <v>155.9</v>
      </c>
      <c r="Q231">
        <v>142.69999999999999</v>
      </c>
      <c r="R231">
        <v>164.9</v>
      </c>
      <c r="S231">
        <v>148.6</v>
      </c>
      <c r="T231">
        <v>140.4</v>
      </c>
      <c r="U231">
        <v>147.4</v>
      </c>
      <c r="V231">
        <v>149.4</v>
      </c>
      <c r="W231">
        <v>141.19999999999999</v>
      </c>
      <c r="X231">
        <v>143.80000000000001</v>
      </c>
      <c r="Y231">
        <v>147.4</v>
      </c>
      <c r="Z231">
        <v>134.30000000000001</v>
      </c>
      <c r="AA231">
        <v>152.5</v>
      </c>
      <c r="AB231">
        <v>139.6</v>
      </c>
      <c r="AC231">
        <v>124.6</v>
      </c>
      <c r="AD231">
        <v>138.6</v>
      </c>
      <c r="AE231">
        <v>142.9</v>
      </c>
    </row>
    <row r="232" spans="1:31" x14ac:dyDescent="0.3">
      <c r="A232" t="s">
        <v>29</v>
      </c>
      <c r="B232">
        <v>2019</v>
      </c>
      <c r="C232" t="s">
        <v>35</v>
      </c>
      <c r="D232">
        <f t="shared" si="4"/>
        <v>6</v>
      </c>
      <c r="E232">
        <v>140.69999999999999</v>
      </c>
      <c r="F232">
        <v>159.6</v>
      </c>
      <c r="G232">
        <v>140.4</v>
      </c>
      <c r="H232">
        <v>143.4</v>
      </c>
      <c r="I232">
        <v>118.6</v>
      </c>
      <c r="J232">
        <v>150.9</v>
      </c>
      <c r="K232">
        <v>169.8</v>
      </c>
      <c r="L232">
        <v>127.4</v>
      </c>
      <c r="M232">
        <v>111.8</v>
      </c>
      <c r="N232">
        <v>141</v>
      </c>
      <c r="O232">
        <v>129</v>
      </c>
      <c r="P232">
        <v>155.1</v>
      </c>
      <c r="Q232">
        <v>145.6</v>
      </c>
      <c r="R232">
        <v>166.7</v>
      </c>
      <c r="S232">
        <v>144.30000000000001</v>
      </c>
      <c r="T232">
        <v>131.69999999999999</v>
      </c>
      <c r="U232">
        <v>142.4</v>
      </c>
      <c r="V232">
        <v>149.4</v>
      </c>
      <c r="W232">
        <v>130.5</v>
      </c>
      <c r="X232">
        <v>137.4</v>
      </c>
      <c r="Y232">
        <v>140.30000000000001</v>
      </c>
      <c r="Z232">
        <v>133.69999999999999</v>
      </c>
      <c r="AA232">
        <v>148.9</v>
      </c>
      <c r="AB232">
        <v>134.30000000000001</v>
      </c>
      <c r="AC232">
        <v>119.6</v>
      </c>
      <c r="AD232">
        <v>133.6</v>
      </c>
      <c r="AE232">
        <v>142.1</v>
      </c>
    </row>
    <row r="233" spans="1:31" x14ac:dyDescent="0.3">
      <c r="A233" t="s">
        <v>27</v>
      </c>
      <c r="B233">
        <v>2019</v>
      </c>
      <c r="C233" t="s">
        <v>36</v>
      </c>
      <c r="D233">
        <f t="shared" si="4"/>
        <v>7</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s="2">
        <f>'Missing values'!V217</f>
        <v>150.6</v>
      </c>
      <c r="W233">
        <v>146.80000000000001</v>
      </c>
      <c r="X233">
        <v>150</v>
      </c>
      <c r="Y233">
        <v>152.19999999999999</v>
      </c>
      <c r="Z233">
        <v>136.1</v>
      </c>
      <c r="AA233">
        <v>159.1</v>
      </c>
      <c r="AB233">
        <v>147.5</v>
      </c>
      <c r="AC233">
        <v>131.19999999999999</v>
      </c>
      <c r="AD233">
        <v>144.19999999999999</v>
      </c>
      <c r="AE233">
        <v>144.9</v>
      </c>
    </row>
    <row r="234" spans="1:31" x14ac:dyDescent="0.3">
      <c r="A234" t="s">
        <v>30</v>
      </c>
      <c r="B234">
        <v>2019</v>
      </c>
      <c r="C234" t="s">
        <v>36</v>
      </c>
      <c r="D234">
        <f t="shared" si="4"/>
        <v>7</v>
      </c>
      <c r="E234">
        <v>139.30000000000001</v>
      </c>
      <c r="F234">
        <v>162.69999999999999</v>
      </c>
      <c r="G234">
        <v>140</v>
      </c>
      <c r="H234">
        <v>144</v>
      </c>
      <c r="I234">
        <v>122.5</v>
      </c>
      <c r="J234">
        <v>150.30000000000001</v>
      </c>
      <c r="K234">
        <v>160.30000000000001</v>
      </c>
      <c r="L234">
        <v>130</v>
      </c>
      <c r="M234">
        <v>111.1</v>
      </c>
      <c r="N234">
        <v>141.69999999999999</v>
      </c>
      <c r="O234">
        <v>134.69999999999999</v>
      </c>
      <c r="P234">
        <v>156.19999999999999</v>
      </c>
      <c r="Q234">
        <v>144.69999999999999</v>
      </c>
      <c r="R234">
        <v>165.2</v>
      </c>
      <c r="S234">
        <v>148.9</v>
      </c>
      <c r="T234">
        <v>140.5</v>
      </c>
      <c r="U234">
        <v>147.6</v>
      </c>
      <c r="V234">
        <v>150.6</v>
      </c>
      <c r="W234">
        <v>139.30000000000001</v>
      </c>
      <c r="X234">
        <v>144.19999999999999</v>
      </c>
      <c r="Y234">
        <v>147.9</v>
      </c>
      <c r="Z234">
        <v>135.69999999999999</v>
      </c>
      <c r="AA234">
        <v>154</v>
      </c>
      <c r="AB234">
        <v>140.5</v>
      </c>
      <c r="AC234">
        <v>125.6</v>
      </c>
      <c r="AD234">
        <v>139.5</v>
      </c>
      <c r="AE234">
        <v>144.19999999999999</v>
      </c>
    </row>
    <row r="235" spans="1:31" x14ac:dyDescent="0.3">
      <c r="A235" t="s">
        <v>29</v>
      </c>
      <c r="B235">
        <v>2019</v>
      </c>
      <c r="C235" t="s">
        <v>36</v>
      </c>
      <c r="D235">
        <f t="shared" si="4"/>
        <v>7</v>
      </c>
      <c r="E235">
        <v>141.4</v>
      </c>
      <c r="F235">
        <v>160.19999999999999</v>
      </c>
      <c r="G235">
        <v>142.5</v>
      </c>
      <c r="H235">
        <v>144.1</v>
      </c>
      <c r="I235">
        <v>119.3</v>
      </c>
      <c r="J235">
        <v>154.69999999999999</v>
      </c>
      <c r="K235">
        <v>180.1</v>
      </c>
      <c r="L235">
        <v>128.9</v>
      </c>
      <c r="M235">
        <v>111.8</v>
      </c>
      <c r="N235">
        <v>141.6</v>
      </c>
      <c r="O235">
        <v>129.5</v>
      </c>
      <c r="P235">
        <v>155.6</v>
      </c>
      <c r="Q235">
        <v>147.69999999999999</v>
      </c>
      <c r="R235">
        <v>167.2</v>
      </c>
      <c r="S235">
        <v>144.69999999999999</v>
      </c>
      <c r="T235">
        <v>131.9</v>
      </c>
      <c r="U235">
        <v>142.69999999999999</v>
      </c>
      <c r="V235">
        <v>150.6</v>
      </c>
      <c r="W235">
        <v>127</v>
      </c>
      <c r="X235">
        <v>137.69999999999999</v>
      </c>
      <c r="Y235">
        <v>140.80000000000001</v>
      </c>
      <c r="Z235">
        <v>135.1</v>
      </c>
      <c r="AA235">
        <v>150.4</v>
      </c>
      <c r="AB235">
        <v>135</v>
      </c>
      <c r="AC235">
        <v>120.6</v>
      </c>
      <c r="AD235">
        <v>134.5</v>
      </c>
      <c r="AE235">
        <v>143.30000000000001</v>
      </c>
    </row>
    <row r="236" spans="1:31" x14ac:dyDescent="0.3">
      <c r="A236" t="s">
        <v>27</v>
      </c>
      <c r="B236">
        <v>2019</v>
      </c>
      <c r="C236" t="s">
        <v>37</v>
      </c>
      <c r="D236">
        <f t="shared" si="4"/>
        <v>8</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s="2">
        <f>'Missing values'!V247</f>
        <v>151.6</v>
      </c>
      <c r="W236">
        <v>146.4</v>
      </c>
      <c r="X236">
        <v>150.19999999999999</v>
      </c>
      <c r="Y236">
        <v>152.69999999999999</v>
      </c>
      <c r="Z236">
        <v>138.80000000000001</v>
      </c>
      <c r="AA236">
        <v>159.69999999999999</v>
      </c>
      <c r="AB236">
        <v>148</v>
      </c>
      <c r="AC236">
        <v>131.4</v>
      </c>
      <c r="AD236">
        <v>144.9</v>
      </c>
      <c r="AE236">
        <v>145.69999999999999</v>
      </c>
    </row>
    <row r="237" spans="1:31" x14ac:dyDescent="0.3">
      <c r="A237" t="s">
        <v>30</v>
      </c>
      <c r="B237">
        <v>2019</v>
      </c>
      <c r="C237" t="s">
        <v>37</v>
      </c>
      <c r="D237">
        <f t="shared" si="4"/>
        <v>8</v>
      </c>
      <c r="E237">
        <v>140.1</v>
      </c>
      <c r="F237">
        <v>160.6</v>
      </c>
      <c r="G237">
        <v>138.5</v>
      </c>
      <c r="H237">
        <v>144.69999999999999</v>
      </c>
      <c r="I237">
        <v>122.9</v>
      </c>
      <c r="J237">
        <v>149.4</v>
      </c>
      <c r="K237">
        <v>167.4</v>
      </c>
      <c r="L237">
        <v>130.9</v>
      </c>
      <c r="M237">
        <v>112</v>
      </c>
      <c r="N237">
        <v>142.6</v>
      </c>
      <c r="O237">
        <v>134.9</v>
      </c>
      <c r="P237">
        <v>156.6</v>
      </c>
      <c r="Q237">
        <v>145.9</v>
      </c>
      <c r="R237">
        <v>165.8</v>
      </c>
      <c r="S237">
        <v>149.1</v>
      </c>
      <c r="T237">
        <v>140.6</v>
      </c>
      <c r="U237">
        <v>147.9</v>
      </c>
      <c r="V237">
        <v>151.6</v>
      </c>
      <c r="W237">
        <v>138.5</v>
      </c>
      <c r="X237">
        <v>144.5</v>
      </c>
      <c r="Y237">
        <v>148.5</v>
      </c>
      <c r="Z237">
        <v>138.4</v>
      </c>
      <c r="AA237">
        <v>154.9</v>
      </c>
      <c r="AB237">
        <v>140.9</v>
      </c>
      <c r="AC237">
        <v>125.8</v>
      </c>
      <c r="AD237">
        <v>140.19999999999999</v>
      </c>
      <c r="AE237">
        <v>145</v>
      </c>
    </row>
    <row r="238" spans="1:31" x14ac:dyDescent="0.3">
      <c r="A238" t="s">
        <v>29</v>
      </c>
      <c r="B238">
        <v>2019</v>
      </c>
      <c r="C238" t="s">
        <v>37</v>
      </c>
      <c r="D238">
        <f t="shared" ref="D238:D301" si="5">IF(C238="January",1,
IF(C238="february",2,
IF(C238="march",3,
IF(C238="april",4,
IF(C238="may",5,
IF(C238="june",6,
IF(C238="july",7,
IF(C238="august",8,
IF(C238="september",9,
IF(C238="october",10,
IF(C238="november",11,
IF(C238="december",12,
))))))))))))</f>
        <v>8</v>
      </c>
      <c r="E238">
        <v>142.1</v>
      </c>
      <c r="F238">
        <v>158.30000000000001</v>
      </c>
      <c r="G238">
        <v>140.80000000000001</v>
      </c>
      <c r="H238">
        <v>144.9</v>
      </c>
      <c r="I238">
        <v>119.9</v>
      </c>
      <c r="J238">
        <v>153.9</v>
      </c>
      <c r="K238">
        <v>189.1</v>
      </c>
      <c r="L238">
        <v>129.80000000000001</v>
      </c>
      <c r="M238">
        <v>112.7</v>
      </c>
      <c r="N238">
        <v>142.5</v>
      </c>
      <c r="O238">
        <v>129.80000000000001</v>
      </c>
      <c r="P238">
        <v>156.19999999999999</v>
      </c>
      <c r="Q238">
        <v>149.1</v>
      </c>
      <c r="R238">
        <v>167.9</v>
      </c>
      <c r="S238">
        <v>145</v>
      </c>
      <c r="T238">
        <v>132.19999999999999</v>
      </c>
      <c r="U238">
        <v>143</v>
      </c>
      <c r="V238">
        <v>151.6</v>
      </c>
      <c r="W238">
        <v>125.5</v>
      </c>
      <c r="X238">
        <v>138.1</v>
      </c>
      <c r="Y238">
        <v>141.5</v>
      </c>
      <c r="Z238">
        <v>137.80000000000001</v>
      </c>
      <c r="AA238">
        <v>151.5</v>
      </c>
      <c r="AB238">
        <v>135.4</v>
      </c>
      <c r="AC238">
        <v>120.8</v>
      </c>
      <c r="AD238">
        <v>135.30000000000001</v>
      </c>
      <c r="AE238">
        <v>144.19999999999999</v>
      </c>
    </row>
    <row r="239" spans="1:31" x14ac:dyDescent="0.3">
      <c r="A239" t="s">
        <v>27</v>
      </c>
      <c r="B239">
        <v>2019</v>
      </c>
      <c r="C239" t="s">
        <v>38</v>
      </c>
      <c r="D239">
        <f t="shared" si="5"/>
        <v>9</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s="2">
        <f>'Missing values'!V277</f>
        <v>152.19999999999999</v>
      </c>
      <c r="W239">
        <v>146.9</v>
      </c>
      <c r="X239">
        <v>150.30000000000001</v>
      </c>
      <c r="Y239">
        <v>153.4</v>
      </c>
      <c r="Z239">
        <v>140.19999999999999</v>
      </c>
      <c r="AA239">
        <v>160.19999999999999</v>
      </c>
      <c r="AB239">
        <v>148.30000000000001</v>
      </c>
      <c r="AC239">
        <v>131.6</v>
      </c>
      <c r="AD239">
        <v>145.4</v>
      </c>
      <c r="AE239">
        <v>146.69999999999999</v>
      </c>
    </row>
    <row r="240" spans="1:31" x14ac:dyDescent="0.3">
      <c r="A240" t="s">
        <v>30</v>
      </c>
      <c r="B240">
        <v>2019</v>
      </c>
      <c r="C240" t="s">
        <v>38</v>
      </c>
      <c r="D240">
        <f t="shared" si="5"/>
        <v>9</v>
      </c>
      <c r="E240">
        <v>140.9</v>
      </c>
      <c r="F240">
        <v>160.80000000000001</v>
      </c>
      <c r="G240">
        <v>139.6</v>
      </c>
      <c r="H240">
        <v>145.4</v>
      </c>
      <c r="I240">
        <v>123.5</v>
      </c>
      <c r="J240">
        <v>146.6</v>
      </c>
      <c r="K240">
        <v>173.2</v>
      </c>
      <c r="L240">
        <v>131.6</v>
      </c>
      <c r="M240">
        <v>113.2</v>
      </c>
      <c r="N240">
        <v>144.1</v>
      </c>
      <c r="O240">
        <v>135</v>
      </c>
      <c r="P240">
        <v>156.80000000000001</v>
      </c>
      <c r="Q240">
        <v>147</v>
      </c>
      <c r="R240">
        <v>166.5</v>
      </c>
      <c r="S240">
        <v>149.19999999999999</v>
      </c>
      <c r="T240">
        <v>140.6</v>
      </c>
      <c r="U240">
        <v>147.9</v>
      </c>
      <c r="V240">
        <v>152.19999999999999</v>
      </c>
      <c r="W240">
        <v>139.19999999999999</v>
      </c>
      <c r="X240">
        <v>144.6</v>
      </c>
      <c r="Y240">
        <v>149</v>
      </c>
      <c r="Z240">
        <v>139.69999999999999</v>
      </c>
      <c r="AA240">
        <v>155.19999999999999</v>
      </c>
      <c r="AB240">
        <v>141.30000000000001</v>
      </c>
      <c r="AC240">
        <v>126.1</v>
      </c>
      <c r="AD240">
        <v>140.69999999999999</v>
      </c>
      <c r="AE240">
        <v>145.80000000000001</v>
      </c>
    </row>
    <row r="241" spans="1:31" x14ac:dyDescent="0.3">
      <c r="A241" t="s">
        <v>29</v>
      </c>
      <c r="B241">
        <v>2019</v>
      </c>
      <c r="C241" t="s">
        <v>38</v>
      </c>
      <c r="D241">
        <f t="shared" si="5"/>
        <v>9</v>
      </c>
      <c r="E241">
        <v>142.69999999999999</v>
      </c>
      <c r="F241">
        <v>158.69999999999999</v>
      </c>
      <c r="G241">
        <v>141.6</v>
      </c>
      <c r="H241">
        <v>144.9</v>
      </c>
      <c r="I241">
        <v>120.8</v>
      </c>
      <c r="J241">
        <v>149.80000000000001</v>
      </c>
      <c r="K241">
        <v>192.4</v>
      </c>
      <c r="L241">
        <v>130.30000000000001</v>
      </c>
      <c r="M241">
        <v>114</v>
      </c>
      <c r="N241">
        <v>143.80000000000001</v>
      </c>
      <c r="O241">
        <v>130</v>
      </c>
      <c r="P241">
        <v>156.4</v>
      </c>
      <c r="Q241">
        <v>149.5</v>
      </c>
      <c r="R241">
        <v>168.6</v>
      </c>
      <c r="S241">
        <v>145.30000000000001</v>
      </c>
      <c r="T241">
        <v>132.19999999999999</v>
      </c>
      <c r="U241">
        <v>143.30000000000001</v>
      </c>
      <c r="V241">
        <v>152.19999999999999</v>
      </c>
      <c r="W241">
        <v>126.6</v>
      </c>
      <c r="X241">
        <v>138.30000000000001</v>
      </c>
      <c r="Y241">
        <v>141.9</v>
      </c>
      <c r="Z241">
        <v>139</v>
      </c>
      <c r="AA241">
        <v>151.6</v>
      </c>
      <c r="AB241">
        <v>135.9</v>
      </c>
      <c r="AC241">
        <v>121.2</v>
      </c>
      <c r="AD241">
        <v>135.69999999999999</v>
      </c>
      <c r="AE241">
        <v>144.69999999999999</v>
      </c>
    </row>
    <row r="242" spans="1:31" x14ac:dyDescent="0.3">
      <c r="A242" t="s">
        <v>27</v>
      </c>
      <c r="B242">
        <v>2019</v>
      </c>
      <c r="C242" t="s">
        <v>39</v>
      </c>
      <c r="D242">
        <f t="shared" si="5"/>
        <v>10</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s="2">
        <f>'Missing values'!V307</f>
        <v>153</v>
      </c>
      <c r="W242">
        <v>147.69999999999999</v>
      </c>
      <c r="X242">
        <v>150.6</v>
      </c>
      <c r="Y242">
        <v>153.69999999999999</v>
      </c>
      <c r="Z242">
        <v>140.30000000000001</v>
      </c>
      <c r="AA242">
        <v>160.69999999999999</v>
      </c>
      <c r="AB242">
        <v>148.69999999999999</v>
      </c>
      <c r="AC242">
        <v>131.69999999999999</v>
      </c>
      <c r="AD242">
        <v>145.69999999999999</v>
      </c>
      <c r="AE242">
        <v>148.30000000000001</v>
      </c>
    </row>
    <row r="243" spans="1:31" x14ac:dyDescent="0.3">
      <c r="A243" t="s">
        <v>30</v>
      </c>
      <c r="B243">
        <v>2019</v>
      </c>
      <c r="C243" t="s">
        <v>39</v>
      </c>
      <c r="D243">
        <f t="shared" si="5"/>
        <v>10</v>
      </c>
      <c r="E243">
        <v>141.80000000000001</v>
      </c>
      <c r="F243">
        <v>161</v>
      </c>
      <c r="G243">
        <v>142.6</v>
      </c>
      <c r="H243">
        <v>146.19999999999999</v>
      </c>
      <c r="I243">
        <v>123.9</v>
      </c>
      <c r="J243">
        <v>148</v>
      </c>
      <c r="K243">
        <v>188.4</v>
      </c>
      <c r="L243">
        <v>132.5</v>
      </c>
      <c r="M243">
        <v>114</v>
      </c>
      <c r="N243">
        <v>145.4</v>
      </c>
      <c r="O243">
        <v>135.1</v>
      </c>
      <c r="P243">
        <v>157.1</v>
      </c>
      <c r="Q243">
        <v>149.6</v>
      </c>
      <c r="R243">
        <v>167.1</v>
      </c>
      <c r="S243">
        <v>149.4</v>
      </c>
      <c r="T243">
        <v>140.80000000000001</v>
      </c>
      <c r="U243">
        <v>148.19999999999999</v>
      </c>
      <c r="V243">
        <v>153</v>
      </c>
      <c r="W243">
        <v>140.6</v>
      </c>
      <c r="X243">
        <v>145</v>
      </c>
      <c r="Y243">
        <v>149.4</v>
      </c>
      <c r="Z243">
        <v>140</v>
      </c>
      <c r="AA243">
        <v>155.4</v>
      </c>
      <c r="AB243">
        <v>141.69999999999999</v>
      </c>
      <c r="AC243">
        <v>126.3</v>
      </c>
      <c r="AD243">
        <v>141</v>
      </c>
      <c r="AE243">
        <v>147.19999999999999</v>
      </c>
    </row>
    <row r="244" spans="1:31" x14ac:dyDescent="0.3">
      <c r="A244" t="s">
        <v>29</v>
      </c>
      <c r="B244">
        <v>2019</v>
      </c>
      <c r="C244" t="s">
        <v>39</v>
      </c>
      <c r="D244">
        <f t="shared" si="5"/>
        <v>10</v>
      </c>
      <c r="E244">
        <v>143.5</v>
      </c>
      <c r="F244">
        <v>159.80000000000001</v>
      </c>
      <c r="G244">
        <v>144.69999999999999</v>
      </c>
      <c r="H244">
        <v>145.6</v>
      </c>
      <c r="I244">
        <v>121.1</v>
      </c>
      <c r="J244">
        <v>150.6</v>
      </c>
      <c r="K244">
        <v>207.2</v>
      </c>
      <c r="L244">
        <v>131.19999999999999</v>
      </c>
      <c r="M244">
        <v>114.8</v>
      </c>
      <c r="N244">
        <v>145.19999999999999</v>
      </c>
      <c r="O244">
        <v>130.19999999999999</v>
      </c>
      <c r="P244">
        <v>156.80000000000001</v>
      </c>
      <c r="Q244">
        <v>151.9</v>
      </c>
      <c r="R244">
        <v>169.3</v>
      </c>
      <c r="S244">
        <v>145.9</v>
      </c>
      <c r="T244">
        <v>132.4</v>
      </c>
      <c r="U244">
        <v>143.9</v>
      </c>
      <c r="V244">
        <v>153</v>
      </c>
      <c r="W244">
        <v>128.9</v>
      </c>
      <c r="X244">
        <v>138.69999999999999</v>
      </c>
      <c r="Y244">
        <v>142.4</v>
      </c>
      <c r="Z244">
        <v>139.5</v>
      </c>
      <c r="AA244">
        <v>151.69999999999999</v>
      </c>
      <c r="AB244">
        <v>136.19999999999999</v>
      </c>
      <c r="AC244">
        <v>121.5</v>
      </c>
      <c r="AD244">
        <v>136</v>
      </c>
      <c r="AE244">
        <v>146</v>
      </c>
    </row>
    <row r="245" spans="1:31" x14ac:dyDescent="0.3">
      <c r="A245" t="s">
        <v>27</v>
      </c>
      <c r="B245">
        <v>2019</v>
      </c>
      <c r="C245" t="s">
        <v>41</v>
      </c>
      <c r="D245">
        <f t="shared" si="5"/>
        <v>11</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s="2">
        <f>'Missing values'!V337</f>
        <v>153.5</v>
      </c>
      <c r="W245">
        <v>148.4</v>
      </c>
      <c r="X245">
        <v>150.9</v>
      </c>
      <c r="Y245">
        <v>154.30000000000001</v>
      </c>
      <c r="Z245">
        <v>140.6</v>
      </c>
      <c r="AA245">
        <v>160.80000000000001</v>
      </c>
      <c r="AB245">
        <v>149.1</v>
      </c>
      <c r="AC245">
        <v>132.1</v>
      </c>
      <c r="AD245">
        <v>146.1</v>
      </c>
      <c r="AE245">
        <v>149.9</v>
      </c>
    </row>
    <row r="246" spans="1:31" x14ac:dyDescent="0.3">
      <c r="A246" t="s">
        <v>30</v>
      </c>
      <c r="B246">
        <v>2019</v>
      </c>
      <c r="C246" t="s">
        <v>41</v>
      </c>
      <c r="D246">
        <f t="shared" si="5"/>
        <v>11</v>
      </c>
      <c r="E246">
        <v>142.5</v>
      </c>
      <c r="F246">
        <v>163.19999999999999</v>
      </c>
      <c r="G246">
        <v>145.6</v>
      </c>
      <c r="H246">
        <v>146.69999999999999</v>
      </c>
      <c r="I246">
        <v>124.3</v>
      </c>
      <c r="J246">
        <v>147.4</v>
      </c>
      <c r="K246">
        <v>199.6</v>
      </c>
      <c r="L246">
        <v>135.69999999999999</v>
      </c>
      <c r="M246">
        <v>114.2</v>
      </c>
      <c r="N246">
        <v>147</v>
      </c>
      <c r="O246">
        <v>135.30000000000001</v>
      </c>
      <c r="P246">
        <v>157.5</v>
      </c>
      <c r="Q246">
        <v>151.9</v>
      </c>
      <c r="R246">
        <v>167.9</v>
      </c>
      <c r="S246">
        <v>149.9</v>
      </c>
      <c r="T246">
        <v>141</v>
      </c>
      <c r="U246">
        <v>148.6</v>
      </c>
      <c r="V246">
        <v>153.5</v>
      </c>
      <c r="W246">
        <v>142.30000000000001</v>
      </c>
      <c r="X246">
        <v>145.30000000000001</v>
      </c>
      <c r="Y246">
        <v>149.9</v>
      </c>
      <c r="Z246">
        <v>140.30000000000001</v>
      </c>
      <c r="AA246">
        <v>155.5</v>
      </c>
      <c r="AB246">
        <v>142.1</v>
      </c>
      <c r="AC246">
        <v>126.6</v>
      </c>
      <c r="AD246">
        <v>141.30000000000001</v>
      </c>
      <c r="AE246">
        <v>148.6</v>
      </c>
    </row>
    <row r="247" spans="1:31" x14ac:dyDescent="0.3">
      <c r="A247" t="s">
        <v>29</v>
      </c>
      <c r="B247">
        <v>2019</v>
      </c>
      <c r="C247" t="s">
        <v>41</v>
      </c>
      <c r="D247">
        <f t="shared" si="5"/>
        <v>11</v>
      </c>
      <c r="E247">
        <v>144.1</v>
      </c>
      <c r="F247">
        <v>162.4</v>
      </c>
      <c r="G247">
        <v>148.4</v>
      </c>
      <c r="H247">
        <v>145.9</v>
      </c>
      <c r="I247">
        <v>121.5</v>
      </c>
      <c r="J247">
        <v>148.80000000000001</v>
      </c>
      <c r="K247">
        <v>215.7</v>
      </c>
      <c r="L247">
        <v>134.6</v>
      </c>
      <c r="M247">
        <v>115</v>
      </c>
      <c r="N247">
        <v>146.30000000000001</v>
      </c>
      <c r="O247">
        <v>130.5</v>
      </c>
      <c r="P247">
        <v>157.19999999999999</v>
      </c>
      <c r="Q247">
        <v>153.6</v>
      </c>
      <c r="R247">
        <v>169.9</v>
      </c>
      <c r="S247">
        <v>146.30000000000001</v>
      </c>
      <c r="T247">
        <v>132.6</v>
      </c>
      <c r="U247">
        <v>144.19999999999999</v>
      </c>
      <c r="V247">
        <v>153.5</v>
      </c>
      <c r="W247">
        <v>132.19999999999999</v>
      </c>
      <c r="X247">
        <v>139.1</v>
      </c>
      <c r="Y247">
        <v>142.80000000000001</v>
      </c>
      <c r="Z247">
        <v>139.80000000000001</v>
      </c>
      <c r="AA247">
        <v>151.80000000000001</v>
      </c>
      <c r="AB247">
        <v>136.69999999999999</v>
      </c>
      <c r="AC247">
        <v>121.7</v>
      </c>
      <c r="AD247">
        <v>136.30000000000001</v>
      </c>
      <c r="AE247">
        <v>147</v>
      </c>
    </row>
    <row r="248" spans="1:31" x14ac:dyDescent="0.3">
      <c r="A248" t="s">
        <v>27</v>
      </c>
      <c r="B248">
        <v>2019</v>
      </c>
      <c r="C248" t="s">
        <v>42</v>
      </c>
      <c r="D248">
        <f t="shared" si="5"/>
        <v>12</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s="2">
        <f>'Missing values'!V367</f>
        <v>152.80000000000001</v>
      </c>
      <c r="W248">
        <v>149.9</v>
      </c>
      <c r="X248">
        <v>151.19999999999999</v>
      </c>
      <c r="Y248">
        <v>154.80000000000001</v>
      </c>
      <c r="Z248">
        <v>140.6</v>
      </c>
      <c r="AA248">
        <v>161.1</v>
      </c>
      <c r="AB248">
        <v>149.5</v>
      </c>
      <c r="AC248">
        <v>135</v>
      </c>
      <c r="AD248">
        <v>147.1</v>
      </c>
      <c r="AE248">
        <v>152.30000000000001</v>
      </c>
    </row>
    <row r="249" spans="1:31" x14ac:dyDescent="0.3">
      <c r="A249" t="s">
        <v>30</v>
      </c>
      <c r="B249">
        <v>2019</v>
      </c>
      <c r="C249" t="s">
        <v>42</v>
      </c>
      <c r="D249">
        <f t="shared" si="5"/>
        <v>12</v>
      </c>
      <c r="E249">
        <v>143.5</v>
      </c>
      <c r="F249">
        <v>165</v>
      </c>
      <c r="G249">
        <v>151.1</v>
      </c>
      <c r="H249">
        <v>148.30000000000001</v>
      </c>
      <c r="I249">
        <v>125.7</v>
      </c>
      <c r="J249">
        <v>145.69999999999999</v>
      </c>
      <c r="K249">
        <v>217</v>
      </c>
      <c r="L249">
        <v>138.30000000000001</v>
      </c>
      <c r="M249">
        <v>114</v>
      </c>
      <c r="N249">
        <v>148.69999999999999</v>
      </c>
      <c r="O249">
        <v>135.80000000000001</v>
      </c>
      <c r="P249">
        <v>158</v>
      </c>
      <c r="Q249">
        <v>155</v>
      </c>
      <c r="R249">
        <v>168.5</v>
      </c>
      <c r="S249">
        <v>150.30000000000001</v>
      </c>
      <c r="T249">
        <v>141.30000000000001</v>
      </c>
      <c r="U249">
        <v>149</v>
      </c>
      <c r="V249">
        <v>152.80000000000001</v>
      </c>
      <c r="W249">
        <v>143.69999999999999</v>
      </c>
      <c r="X249">
        <v>145.80000000000001</v>
      </c>
      <c r="Y249">
        <v>150.4</v>
      </c>
      <c r="Z249">
        <v>140.4</v>
      </c>
      <c r="AA249">
        <v>155.69999999999999</v>
      </c>
      <c r="AB249">
        <v>142.30000000000001</v>
      </c>
      <c r="AC249">
        <v>129.80000000000001</v>
      </c>
      <c r="AD249">
        <v>142.5</v>
      </c>
      <c r="AE249">
        <v>150.4</v>
      </c>
    </row>
    <row r="250" spans="1:31" x14ac:dyDescent="0.3">
      <c r="A250" t="s">
        <v>29</v>
      </c>
      <c r="B250">
        <v>2019</v>
      </c>
      <c r="C250" t="s">
        <v>42</v>
      </c>
      <c r="D250">
        <f t="shared" si="5"/>
        <v>12</v>
      </c>
      <c r="E250">
        <v>144.9</v>
      </c>
      <c r="F250">
        <v>164.5</v>
      </c>
      <c r="G250">
        <v>153.69999999999999</v>
      </c>
      <c r="H250">
        <v>147.5</v>
      </c>
      <c r="I250">
        <v>122.7</v>
      </c>
      <c r="J250">
        <v>147.19999999999999</v>
      </c>
      <c r="K250">
        <v>231.5</v>
      </c>
      <c r="L250">
        <v>137.19999999999999</v>
      </c>
      <c r="M250">
        <v>114.7</v>
      </c>
      <c r="N250">
        <v>148</v>
      </c>
      <c r="O250">
        <v>130.80000000000001</v>
      </c>
      <c r="P250">
        <v>157.69999999999999</v>
      </c>
      <c r="Q250">
        <v>156.30000000000001</v>
      </c>
      <c r="R250">
        <v>170.4</v>
      </c>
      <c r="S250">
        <v>146.80000000000001</v>
      </c>
      <c r="T250">
        <v>132.80000000000001</v>
      </c>
      <c r="U250">
        <v>144.6</v>
      </c>
      <c r="V250">
        <v>152.80000000000001</v>
      </c>
      <c r="W250">
        <v>133.6</v>
      </c>
      <c r="X250">
        <v>139.80000000000001</v>
      </c>
      <c r="Y250">
        <v>143.19999999999999</v>
      </c>
      <c r="Z250">
        <v>140.19999999999999</v>
      </c>
      <c r="AA250">
        <v>151.9</v>
      </c>
      <c r="AB250">
        <v>136.80000000000001</v>
      </c>
      <c r="AC250">
        <v>125.2</v>
      </c>
      <c r="AD250">
        <v>137.69999999999999</v>
      </c>
      <c r="AE250">
        <v>148.30000000000001</v>
      </c>
    </row>
    <row r="251" spans="1:31" x14ac:dyDescent="0.3">
      <c r="A251" t="s">
        <v>27</v>
      </c>
      <c r="B251">
        <v>2020</v>
      </c>
      <c r="C251" t="s">
        <v>28</v>
      </c>
      <c r="D251">
        <f t="shared" si="5"/>
        <v>1</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s="2">
        <f>'Missing values'!V28</f>
        <v>153.9</v>
      </c>
      <c r="W251">
        <v>150.4</v>
      </c>
      <c r="X251">
        <v>151.69999999999999</v>
      </c>
      <c r="Y251">
        <v>155.69999999999999</v>
      </c>
      <c r="Z251">
        <v>142.5</v>
      </c>
      <c r="AA251">
        <v>161.69999999999999</v>
      </c>
      <c r="AB251">
        <v>150.1</v>
      </c>
      <c r="AC251">
        <v>136.30000000000001</v>
      </c>
      <c r="AD251">
        <v>148.1</v>
      </c>
      <c r="AE251">
        <v>151.9</v>
      </c>
    </row>
    <row r="252" spans="1:31" x14ac:dyDescent="0.3">
      <c r="A252" t="s">
        <v>30</v>
      </c>
      <c r="B252">
        <v>2020</v>
      </c>
      <c r="C252" t="s">
        <v>28</v>
      </c>
      <c r="D252">
        <f t="shared" si="5"/>
        <v>1</v>
      </c>
      <c r="E252">
        <v>144.30000000000001</v>
      </c>
      <c r="F252">
        <v>167.4</v>
      </c>
      <c r="G252">
        <v>154.9</v>
      </c>
      <c r="H252">
        <v>150.1</v>
      </c>
      <c r="I252">
        <v>129.9</v>
      </c>
      <c r="J252">
        <v>143.19999999999999</v>
      </c>
      <c r="K252">
        <v>197</v>
      </c>
      <c r="L252">
        <v>140.4</v>
      </c>
      <c r="M252">
        <v>114.1</v>
      </c>
      <c r="N252">
        <v>150.9</v>
      </c>
      <c r="O252">
        <v>136.1</v>
      </c>
      <c r="P252">
        <v>158.6</v>
      </c>
      <c r="Q252">
        <v>153.5</v>
      </c>
      <c r="R252">
        <v>169.2</v>
      </c>
      <c r="S252">
        <v>150.5</v>
      </c>
      <c r="T252">
        <v>141.5</v>
      </c>
      <c r="U252">
        <v>149.19999999999999</v>
      </c>
      <c r="V252">
        <v>153.9</v>
      </c>
      <c r="W252">
        <v>144.6</v>
      </c>
      <c r="X252">
        <v>146.19999999999999</v>
      </c>
      <c r="Y252">
        <v>151.19999999999999</v>
      </c>
      <c r="Z252">
        <v>142.30000000000001</v>
      </c>
      <c r="AA252">
        <v>156.1</v>
      </c>
      <c r="AB252">
        <v>142.80000000000001</v>
      </c>
      <c r="AC252">
        <v>130.9</v>
      </c>
      <c r="AD252">
        <v>143.4</v>
      </c>
      <c r="AE252">
        <v>150.19999999999999</v>
      </c>
    </row>
    <row r="253" spans="1:31" x14ac:dyDescent="0.3">
      <c r="A253" t="s">
        <v>29</v>
      </c>
      <c r="B253">
        <v>2020</v>
      </c>
      <c r="C253" t="s">
        <v>28</v>
      </c>
      <c r="D253">
        <f t="shared" si="5"/>
        <v>1</v>
      </c>
      <c r="E253">
        <v>145.6</v>
      </c>
      <c r="F253">
        <v>167.6</v>
      </c>
      <c r="G253">
        <v>157</v>
      </c>
      <c r="H253">
        <v>149.30000000000001</v>
      </c>
      <c r="I253">
        <v>126.3</v>
      </c>
      <c r="J253">
        <v>144.4</v>
      </c>
      <c r="K253">
        <v>207.8</v>
      </c>
      <c r="L253">
        <v>139.1</v>
      </c>
      <c r="M253">
        <v>114.8</v>
      </c>
      <c r="N253">
        <v>149.5</v>
      </c>
      <c r="O253">
        <v>131.1</v>
      </c>
      <c r="P253">
        <v>158.5</v>
      </c>
      <c r="Q253">
        <v>154.4</v>
      </c>
      <c r="R253">
        <v>170.8</v>
      </c>
      <c r="S253">
        <v>147</v>
      </c>
      <c r="T253">
        <v>133.19999999999999</v>
      </c>
      <c r="U253">
        <v>144.9</v>
      </c>
      <c r="V253">
        <v>153.9</v>
      </c>
      <c r="W253">
        <v>135.1</v>
      </c>
      <c r="X253">
        <v>140.1</v>
      </c>
      <c r="Y253">
        <v>143.80000000000001</v>
      </c>
      <c r="Z253">
        <v>142.1</v>
      </c>
      <c r="AA253">
        <v>152.1</v>
      </c>
      <c r="AB253">
        <v>137.19999999999999</v>
      </c>
      <c r="AC253">
        <v>126.1</v>
      </c>
      <c r="AD253">
        <v>138.4</v>
      </c>
      <c r="AE253">
        <v>148.19999999999999</v>
      </c>
    </row>
    <row r="254" spans="1:31" x14ac:dyDescent="0.3">
      <c r="A254" t="s">
        <v>27</v>
      </c>
      <c r="B254">
        <v>2020</v>
      </c>
      <c r="C254" t="s">
        <v>31</v>
      </c>
      <c r="D254">
        <f t="shared" si="5"/>
        <v>2</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s="2">
        <f>'Missing values'!V61</f>
        <v>154.80000000000001</v>
      </c>
      <c r="W254">
        <v>152.30000000000001</v>
      </c>
      <c r="X254">
        <v>151.80000000000001</v>
      </c>
      <c r="Y254">
        <v>156.19999999999999</v>
      </c>
      <c r="Z254">
        <v>143.4</v>
      </c>
      <c r="AA254">
        <v>161.9</v>
      </c>
      <c r="AB254">
        <v>150.4</v>
      </c>
      <c r="AC254">
        <v>136</v>
      </c>
      <c r="AD254">
        <v>148.4</v>
      </c>
      <c r="AE254">
        <v>150.4</v>
      </c>
    </row>
    <row r="255" spans="1:31" x14ac:dyDescent="0.3">
      <c r="A255" t="s">
        <v>30</v>
      </c>
      <c r="B255">
        <v>2020</v>
      </c>
      <c r="C255" t="s">
        <v>31</v>
      </c>
      <c r="D255">
        <f t="shared" si="5"/>
        <v>2</v>
      </c>
      <c r="E255">
        <v>144.80000000000001</v>
      </c>
      <c r="F255">
        <v>167.5</v>
      </c>
      <c r="G255">
        <v>151.80000000000001</v>
      </c>
      <c r="H255">
        <v>150.80000000000001</v>
      </c>
      <c r="I255">
        <v>131.4</v>
      </c>
      <c r="J255">
        <v>141.80000000000001</v>
      </c>
      <c r="K255">
        <v>170.7</v>
      </c>
      <c r="L255">
        <v>141.1</v>
      </c>
      <c r="M255">
        <v>113.6</v>
      </c>
      <c r="N255">
        <v>152</v>
      </c>
      <c r="O255">
        <v>136.5</v>
      </c>
      <c r="P255">
        <v>159.1</v>
      </c>
      <c r="Q255">
        <v>150.5</v>
      </c>
      <c r="R255">
        <v>170.1</v>
      </c>
      <c r="S255">
        <v>150.80000000000001</v>
      </c>
      <c r="T255">
        <v>141.69999999999999</v>
      </c>
      <c r="U255">
        <v>149.5</v>
      </c>
      <c r="V255">
        <v>154.80000000000001</v>
      </c>
      <c r="W255">
        <v>147.19999999999999</v>
      </c>
      <c r="X255">
        <v>146.4</v>
      </c>
      <c r="Y255">
        <v>151.69999999999999</v>
      </c>
      <c r="Z255">
        <v>143.4</v>
      </c>
      <c r="AA255">
        <v>156.19999999999999</v>
      </c>
      <c r="AB255">
        <v>143.19999999999999</v>
      </c>
      <c r="AC255">
        <v>130.30000000000001</v>
      </c>
      <c r="AD255">
        <v>143.6</v>
      </c>
      <c r="AE255">
        <v>149.1</v>
      </c>
    </row>
    <row r="256" spans="1:31" x14ac:dyDescent="0.3">
      <c r="A256" t="s">
        <v>29</v>
      </c>
      <c r="B256">
        <v>2020</v>
      </c>
      <c r="C256" t="s">
        <v>31</v>
      </c>
      <c r="D256">
        <f t="shared" si="5"/>
        <v>2</v>
      </c>
      <c r="E256">
        <v>146.19999999999999</v>
      </c>
      <c r="F256">
        <v>167.6</v>
      </c>
      <c r="G256">
        <v>153.1</v>
      </c>
      <c r="H256">
        <v>150.69999999999999</v>
      </c>
      <c r="I256">
        <v>127.4</v>
      </c>
      <c r="J256">
        <v>143.1</v>
      </c>
      <c r="K256">
        <v>181.7</v>
      </c>
      <c r="L256">
        <v>139.6</v>
      </c>
      <c r="M256">
        <v>114.6</v>
      </c>
      <c r="N256">
        <v>150.4</v>
      </c>
      <c r="O256">
        <v>131.5</v>
      </c>
      <c r="P256">
        <v>159</v>
      </c>
      <c r="Q256">
        <v>151.69999999999999</v>
      </c>
      <c r="R256">
        <v>172</v>
      </c>
      <c r="S256">
        <v>147.30000000000001</v>
      </c>
      <c r="T256">
        <v>133.5</v>
      </c>
      <c r="U256">
        <v>145.19999999999999</v>
      </c>
      <c r="V256">
        <v>154.80000000000001</v>
      </c>
      <c r="W256">
        <v>138.9</v>
      </c>
      <c r="X256">
        <v>140.4</v>
      </c>
      <c r="Y256">
        <v>144.4</v>
      </c>
      <c r="Z256">
        <v>143.5</v>
      </c>
      <c r="AA256">
        <v>152.19999999999999</v>
      </c>
      <c r="AB256">
        <v>137.69999999999999</v>
      </c>
      <c r="AC256">
        <v>125.2</v>
      </c>
      <c r="AD256">
        <v>138.4</v>
      </c>
      <c r="AE256">
        <v>147.69999999999999</v>
      </c>
    </row>
    <row r="257" spans="1:35" x14ac:dyDescent="0.3">
      <c r="A257" t="s">
        <v>27</v>
      </c>
      <c r="B257">
        <v>2020</v>
      </c>
      <c r="C257" t="s">
        <v>32</v>
      </c>
      <c r="D257">
        <f t="shared" si="5"/>
        <v>3</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s="2">
        <f>'Missing values'!V94</f>
        <v>154.5</v>
      </c>
      <c r="W257">
        <v>153.4</v>
      </c>
      <c r="X257">
        <v>151.5</v>
      </c>
      <c r="Y257">
        <v>156.69999999999999</v>
      </c>
      <c r="Z257">
        <v>145.1</v>
      </c>
      <c r="AA257">
        <v>161.19999999999999</v>
      </c>
      <c r="AB257">
        <v>151.19999999999999</v>
      </c>
      <c r="AC257">
        <v>135.80000000000001</v>
      </c>
      <c r="AD257">
        <v>148.6</v>
      </c>
      <c r="AE257">
        <v>149.80000000000001</v>
      </c>
    </row>
    <row r="258" spans="1:35" x14ac:dyDescent="0.3">
      <c r="A258" t="s">
        <v>30</v>
      </c>
      <c r="B258">
        <v>2020</v>
      </c>
      <c r="C258" t="s">
        <v>32</v>
      </c>
      <c r="D258">
        <f t="shared" si="5"/>
        <v>3</v>
      </c>
      <c r="E258">
        <v>145.1</v>
      </c>
      <c r="F258">
        <v>167</v>
      </c>
      <c r="G258">
        <v>148.1</v>
      </c>
      <c r="H258">
        <v>151.5</v>
      </c>
      <c r="I258">
        <v>131.19999999999999</v>
      </c>
      <c r="J258">
        <v>142.5</v>
      </c>
      <c r="K258">
        <v>157.30000000000001</v>
      </c>
      <c r="L258">
        <v>141.1</v>
      </c>
      <c r="M258">
        <v>113.2</v>
      </c>
      <c r="N258">
        <v>153.19999999999999</v>
      </c>
      <c r="O258">
        <v>136.69999999999999</v>
      </c>
      <c r="P258">
        <v>159.6</v>
      </c>
      <c r="Q258">
        <v>148.9</v>
      </c>
      <c r="R258">
        <v>171.2</v>
      </c>
      <c r="S258">
        <v>151.19999999999999</v>
      </c>
      <c r="T258">
        <v>141.9</v>
      </c>
      <c r="U258">
        <v>149.80000000000001</v>
      </c>
      <c r="V258">
        <v>154.5</v>
      </c>
      <c r="W258">
        <v>148.9</v>
      </c>
      <c r="X258">
        <v>146.4</v>
      </c>
      <c r="Y258">
        <v>152.30000000000001</v>
      </c>
      <c r="Z258">
        <v>145.19999999999999</v>
      </c>
      <c r="AA258">
        <v>156.1</v>
      </c>
      <c r="AB258">
        <v>143.69999999999999</v>
      </c>
      <c r="AC258">
        <v>129.9</v>
      </c>
      <c r="AD258">
        <v>143.80000000000001</v>
      </c>
      <c r="AE258">
        <v>148.6</v>
      </c>
    </row>
    <row r="259" spans="1:35" x14ac:dyDescent="0.3">
      <c r="A259" t="s">
        <v>29</v>
      </c>
      <c r="B259">
        <v>2020</v>
      </c>
      <c r="C259" t="s">
        <v>32</v>
      </c>
      <c r="D259">
        <f t="shared" si="5"/>
        <v>3</v>
      </c>
      <c r="E259">
        <v>146.5</v>
      </c>
      <c r="F259">
        <v>167.5</v>
      </c>
      <c r="G259">
        <v>148.9</v>
      </c>
      <c r="H259">
        <v>151.1</v>
      </c>
      <c r="I259">
        <v>127.5</v>
      </c>
      <c r="J259">
        <v>143.30000000000001</v>
      </c>
      <c r="K259">
        <v>167</v>
      </c>
      <c r="L259">
        <v>139.69999999999999</v>
      </c>
      <c r="M259">
        <v>114.4</v>
      </c>
      <c r="N259">
        <v>151.5</v>
      </c>
      <c r="O259">
        <v>131.9</v>
      </c>
      <c r="P259">
        <v>159.1</v>
      </c>
      <c r="Q259">
        <v>150.1</v>
      </c>
      <c r="R259">
        <v>173.3</v>
      </c>
      <c r="S259">
        <v>147.69999999999999</v>
      </c>
      <c r="T259">
        <v>133.80000000000001</v>
      </c>
      <c r="U259">
        <v>145.6</v>
      </c>
      <c r="V259">
        <v>154.5</v>
      </c>
      <c r="W259">
        <v>141.4</v>
      </c>
      <c r="X259">
        <v>140.80000000000001</v>
      </c>
      <c r="Y259">
        <v>145</v>
      </c>
      <c r="Z259">
        <v>145.30000000000001</v>
      </c>
      <c r="AA259">
        <v>152.5</v>
      </c>
      <c r="AB259">
        <v>137.9</v>
      </c>
      <c r="AC259">
        <v>124.6</v>
      </c>
      <c r="AD259">
        <v>138.69999999999999</v>
      </c>
      <c r="AE259">
        <v>147.30000000000001</v>
      </c>
    </row>
    <row r="260" spans="1:35" x14ac:dyDescent="0.3">
      <c r="A260" t="s">
        <v>27</v>
      </c>
      <c r="B260">
        <v>2020</v>
      </c>
      <c r="C260" t="s">
        <v>33</v>
      </c>
      <c r="D260">
        <f t="shared" si="5"/>
        <v>4</v>
      </c>
      <c r="E260">
        <v>147.19999999999999</v>
      </c>
      <c r="G260">
        <v>146.9</v>
      </c>
      <c r="H260">
        <v>155.6</v>
      </c>
      <c r="I260">
        <v>137.1</v>
      </c>
      <c r="J260">
        <v>147.30000000000001</v>
      </c>
      <c r="K260">
        <v>162.69999999999999</v>
      </c>
      <c r="L260">
        <v>150.19999999999999</v>
      </c>
      <c r="M260">
        <v>119.8</v>
      </c>
      <c r="N260">
        <v>158.69999999999999</v>
      </c>
      <c r="O260">
        <v>139.19999999999999</v>
      </c>
      <c r="Q260">
        <v>150.1</v>
      </c>
      <c r="V260" s="2">
        <f>'Missing values'!V124</f>
        <v>155.6</v>
      </c>
      <c r="W260">
        <v>148.4</v>
      </c>
      <c r="Y260">
        <v>154.30000000000001</v>
      </c>
    </row>
    <row r="261" spans="1:35" ht="13.2" customHeight="1" x14ac:dyDescent="0.3">
      <c r="A261" t="s">
        <v>30</v>
      </c>
      <c r="B261">
        <v>2020</v>
      </c>
      <c r="C261" t="s">
        <v>33</v>
      </c>
      <c r="D261">
        <f t="shared" si="5"/>
        <v>4</v>
      </c>
      <c r="E261">
        <v>148.69999999999999</v>
      </c>
      <c r="G261">
        <v>148.80000000000001</v>
      </c>
      <c r="H261">
        <v>155.6</v>
      </c>
      <c r="I261">
        <v>135.1</v>
      </c>
      <c r="J261">
        <v>149.9</v>
      </c>
      <c r="K261">
        <v>168.6</v>
      </c>
      <c r="L261">
        <v>150.4</v>
      </c>
      <c r="M261">
        <v>120.3</v>
      </c>
      <c r="N261">
        <v>157.1</v>
      </c>
      <c r="O261">
        <v>136.80000000000001</v>
      </c>
      <c r="Q261">
        <v>151.4</v>
      </c>
      <c r="V261">
        <v>155.6</v>
      </c>
      <c r="W261">
        <v>144.1</v>
      </c>
      <c r="Y261">
        <v>150.69999999999999</v>
      </c>
      <c r="AE261" s="19">
        <f>AVERAGE(AE258,AE255,AE252,AE267,AE270,AE273)</f>
        <v>150.9</v>
      </c>
      <c r="AH261" s="19"/>
    </row>
    <row r="262" spans="1:35" x14ac:dyDescent="0.3">
      <c r="A262" t="s">
        <v>29</v>
      </c>
      <c r="B262">
        <v>2020</v>
      </c>
      <c r="C262" t="s">
        <v>33</v>
      </c>
      <c r="D262">
        <f t="shared" si="5"/>
        <v>4</v>
      </c>
      <c r="E262">
        <v>151.80000000000001</v>
      </c>
      <c r="G262">
        <v>151.9</v>
      </c>
      <c r="H262">
        <v>155.5</v>
      </c>
      <c r="I262">
        <v>131.6</v>
      </c>
      <c r="J262">
        <v>152.9</v>
      </c>
      <c r="K262">
        <v>180</v>
      </c>
      <c r="L262">
        <v>150.80000000000001</v>
      </c>
      <c r="M262">
        <v>121.2</v>
      </c>
      <c r="N262">
        <v>154</v>
      </c>
      <c r="O262">
        <v>133.5</v>
      </c>
      <c r="Q262">
        <v>153.5</v>
      </c>
      <c r="V262">
        <v>155.6</v>
      </c>
      <c r="W262">
        <v>137.1</v>
      </c>
      <c r="Y262">
        <v>144.80000000000001</v>
      </c>
      <c r="AH262" s="19"/>
    </row>
    <row r="263" spans="1:35" x14ac:dyDescent="0.3">
      <c r="A263" t="s">
        <v>27</v>
      </c>
      <c r="B263">
        <v>2020</v>
      </c>
      <c r="C263" t="s">
        <v>34</v>
      </c>
      <c r="D263">
        <f t="shared" si="5"/>
        <v>5</v>
      </c>
      <c r="V263" s="2"/>
    </row>
    <row r="264" spans="1:35" x14ac:dyDescent="0.3">
      <c r="A264" t="s">
        <v>30</v>
      </c>
      <c r="B264">
        <v>2020</v>
      </c>
      <c r="C264" t="s">
        <v>34</v>
      </c>
      <c r="D264">
        <f t="shared" si="5"/>
        <v>5</v>
      </c>
      <c r="AE264" s="19">
        <f>AVERAGE(AE261,AE258,AE255,AE267,AE273,AE270)</f>
        <v>151.01666666666668</v>
      </c>
      <c r="AG264" s="12"/>
      <c r="AI264" s="19"/>
    </row>
    <row r="265" spans="1:35" x14ac:dyDescent="0.3">
      <c r="A265" t="s">
        <v>29</v>
      </c>
      <c r="B265">
        <v>2020</v>
      </c>
      <c r="C265" t="s">
        <v>34</v>
      </c>
      <c r="D265">
        <f t="shared" si="5"/>
        <v>5</v>
      </c>
      <c r="AI265" s="19"/>
    </row>
    <row r="266" spans="1:35" x14ac:dyDescent="0.3">
      <c r="A266" t="s">
        <v>27</v>
      </c>
      <c r="B266">
        <v>2020</v>
      </c>
      <c r="C266" t="s">
        <v>35</v>
      </c>
      <c r="D266">
        <f t="shared" si="5"/>
        <v>6</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s="2">
        <f>'Missing values'!V190</f>
        <v>154.69999999999999</v>
      </c>
      <c r="W266">
        <v>144.9</v>
      </c>
      <c r="X266">
        <v>151.69999999999999</v>
      </c>
      <c r="Y266">
        <v>158.19999999999999</v>
      </c>
      <c r="Z266">
        <v>151.19999999999999</v>
      </c>
      <c r="AA266">
        <v>161.80000000000001</v>
      </c>
      <c r="AB266">
        <v>153.19999999999999</v>
      </c>
      <c r="AC266">
        <v>141.4</v>
      </c>
      <c r="AD266">
        <v>151.69999999999999</v>
      </c>
      <c r="AE266">
        <v>152.69999999999999</v>
      </c>
    </row>
    <row r="267" spans="1:35" x14ac:dyDescent="0.3">
      <c r="A267" t="s">
        <v>30</v>
      </c>
      <c r="B267">
        <v>2020</v>
      </c>
      <c r="C267" t="s">
        <v>35</v>
      </c>
      <c r="D267">
        <f t="shared" si="5"/>
        <v>6</v>
      </c>
      <c r="E267">
        <v>149.6</v>
      </c>
      <c r="F267">
        <v>192.7</v>
      </c>
      <c r="G267">
        <v>151.4</v>
      </c>
      <c r="H267">
        <v>153.30000000000001</v>
      </c>
      <c r="I267">
        <v>136.30000000000001</v>
      </c>
      <c r="J267">
        <v>147.19999999999999</v>
      </c>
      <c r="K267">
        <v>156.5</v>
      </c>
      <c r="L267">
        <v>150.9</v>
      </c>
      <c r="M267">
        <v>114.2</v>
      </c>
      <c r="N267">
        <v>159.5</v>
      </c>
      <c r="O267">
        <v>139.4</v>
      </c>
      <c r="P267">
        <v>161.80000000000001</v>
      </c>
      <c r="Q267">
        <v>154</v>
      </c>
      <c r="R267">
        <v>183.5</v>
      </c>
      <c r="S267">
        <v>152.5</v>
      </c>
      <c r="T267">
        <v>144.4</v>
      </c>
      <c r="U267">
        <v>151.4</v>
      </c>
      <c r="V267">
        <v>154.69999999999999</v>
      </c>
      <c r="W267">
        <v>141.9</v>
      </c>
      <c r="X267">
        <v>146.4</v>
      </c>
      <c r="Y267">
        <v>154.4</v>
      </c>
      <c r="Z267">
        <v>151.6</v>
      </c>
      <c r="AA267">
        <v>156.4</v>
      </c>
      <c r="AB267">
        <v>148.30000000000001</v>
      </c>
      <c r="AC267">
        <v>135</v>
      </c>
      <c r="AD267">
        <v>147</v>
      </c>
      <c r="AE267">
        <v>151.80000000000001</v>
      </c>
    </row>
    <row r="268" spans="1:35" x14ac:dyDescent="0.3">
      <c r="A268" t="s">
        <v>29</v>
      </c>
      <c r="B268">
        <v>2020</v>
      </c>
      <c r="C268" t="s">
        <v>35</v>
      </c>
      <c r="D268">
        <f t="shared" si="5"/>
        <v>6</v>
      </c>
      <c r="E268">
        <v>152.69999999999999</v>
      </c>
      <c r="F268">
        <v>197</v>
      </c>
      <c r="G268">
        <v>154.6</v>
      </c>
      <c r="H268">
        <v>153.4</v>
      </c>
      <c r="I268">
        <v>132.9</v>
      </c>
      <c r="J268">
        <v>151.80000000000001</v>
      </c>
      <c r="K268">
        <v>171.2</v>
      </c>
      <c r="L268">
        <v>152</v>
      </c>
      <c r="M268">
        <v>116.3</v>
      </c>
      <c r="N268">
        <v>158.80000000000001</v>
      </c>
      <c r="O268">
        <v>135.6</v>
      </c>
      <c r="P268">
        <v>161.69999999999999</v>
      </c>
      <c r="Q268">
        <v>157</v>
      </c>
      <c r="R268">
        <v>186.7</v>
      </c>
      <c r="S268">
        <v>149.1</v>
      </c>
      <c r="T268">
        <v>136.6</v>
      </c>
      <c r="U268">
        <v>147.19999999999999</v>
      </c>
      <c r="V268">
        <v>154.69999999999999</v>
      </c>
      <c r="W268">
        <v>137.1</v>
      </c>
      <c r="X268">
        <v>140.4</v>
      </c>
      <c r="Y268">
        <v>148.1</v>
      </c>
      <c r="Z268">
        <v>152.19999999999999</v>
      </c>
      <c r="AA268">
        <v>152.5</v>
      </c>
      <c r="AB268">
        <v>144.5</v>
      </c>
      <c r="AC268">
        <v>129.30000000000001</v>
      </c>
      <c r="AD268">
        <v>142</v>
      </c>
      <c r="AE268">
        <v>150.80000000000001</v>
      </c>
    </row>
    <row r="269" spans="1:35" x14ac:dyDescent="0.3">
      <c r="A269" t="s">
        <v>27</v>
      </c>
      <c r="B269">
        <v>2020</v>
      </c>
      <c r="C269" t="s">
        <v>36</v>
      </c>
      <c r="D269">
        <f t="shared" si="5"/>
        <v>7</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s="2">
        <f>'Missing values'!V220</f>
        <v>154.69999999999999</v>
      </c>
      <c r="W269">
        <v>144.9</v>
      </c>
      <c r="X269">
        <v>151.69999999999999</v>
      </c>
      <c r="Y269">
        <v>158.19999999999999</v>
      </c>
      <c r="Z269">
        <v>151.19999999999999</v>
      </c>
      <c r="AA269">
        <v>161.80000000000001</v>
      </c>
      <c r="AB269">
        <v>153.19999999999999</v>
      </c>
      <c r="AC269">
        <v>141.4</v>
      </c>
      <c r="AD269">
        <v>151.69999999999999</v>
      </c>
      <c r="AE269">
        <v>152.69999999999999</v>
      </c>
    </row>
    <row r="270" spans="1:35" x14ac:dyDescent="0.3">
      <c r="A270" t="s">
        <v>30</v>
      </c>
      <c r="B270">
        <v>2020</v>
      </c>
      <c r="C270" t="s">
        <v>36</v>
      </c>
      <c r="D270">
        <f t="shared" si="5"/>
        <v>7</v>
      </c>
      <c r="E270">
        <v>149.6</v>
      </c>
      <c r="F270">
        <v>192.7</v>
      </c>
      <c r="G270">
        <v>151.4</v>
      </c>
      <c r="H270">
        <v>153.30000000000001</v>
      </c>
      <c r="I270">
        <v>136.30000000000001</v>
      </c>
      <c r="J270">
        <v>147.19999999999999</v>
      </c>
      <c r="K270">
        <v>156.5</v>
      </c>
      <c r="L270">
        <v>150.9</v>
      </c>
      <c r="M270">
        <v>114.2</v>
      </c>
      <c r="N270">
        <v>159.5</v>
      </c>
      <c r="O270">
        <v>139.4</v>
      </c>
      <c r="P270">
        <v>161.80000000000001</v>
      </c>
      <c r="Q270">
        <v>154</v>
      </c>
      <c r="R270">
        <v>183.5</v>
      </c>
      <c r="S270">
        <v>152.5</v>
      </c>
      <c r="T270">
        <v>144.4</v>
      </c>
      <c r="U270">
        <v>151.4</v>
      </c>
      <c r="V270">
        <v>154.69999999999999</v>
      </c>
      <c r="W270">
        <v>141.9</v>
      </c>
      <c r="X270">
        <v>146.4</v>
      </c>
      <c r="Y270">
        <v>154.4</v>
      </c>
      <c r="Z270">
        <v>151.6</v>
      </c>
      <c r="AA270">
        <v>156.4</v>
      </c>
      <c r="AB270">
        <v>148.30000000000001</v>
      </c>
      <c r="AC270">
        <v>135</v>
      </c>
      <c r="AD270">
        <v>147</v>
      </c>
      <c r="AE270">
        <v>151.80000000000001</v>
      </c>
      <c r="AI270" s="19"/>
    </row>
    <row r="271" spans="1:35" x14ac:dyDescent="0.3">
      <c r="A271" t="s">
        <v>29</v>
      </c>
      <c r="B271">
        <v>2020</v>
      </c>
      <c r="C271" t="s">
        <v>36</v>
      </c>
      <c r="D271">
        <f t="shared" si="5"/>
        <v>7</v>
      </c>
      <c r="E271">
        <v>152.69999999999999</v>
      </c>
      <c r="F271">
        <v>197</v>
      </c>
      <c r="G271">
        <v>154.6</v>
      </c>
      <c r="H271">
        <v>153.4</v>
      </c>
      <c r="I271">
        <v>132.9</v>
      </c>
      <c r="J271">
        <v>151.80000000000001</v>
      </c>
      <c r="K271">
        <v>171.2</v>
      </c>
      <c r="L271">
        <v>152</v>
      </c>
      <c r="M271">
        <v>116.3</v>
      </c>
      <c r="N271">
        <v>158.80000000000001</v>
      </c>
      <c r="O271">
        <v>135.6</v>
      </c>
      <c r="P271">
        <v>161.69999999999999</v>
      </c>
      <c r="Q271">
        <v>157</v>
      </c>
      <c r="R271">
        <v>186.7</v>
      </c>
      <c r="S271">
        <v>149.1</v>
      </c>
      <c r="T271">
        <v>136.6</v>
      </c>
      <c r="U271">
        <v>147.19999999999999</v>
      </c>
      <c r="V271">
        <v>154.69999999999999</v>
      </c>
      <c r="W271">
        <v>137.1</v>
      </c>
      <c r="X271">
        <v>140.4</v>
      </c>
      <c r="Y271">
        <v>148.1</v>
      </c>
      <c r="Z271">
        <v>152.19999999999999</v>
      </c>
      <c r="AA271">
        <v>152.5</v>
      </c>
      <c r="AB271">
        <v>144.5</v>
      </c>
      <c r="AC271">
        <v>129.30000000000001</v>
      </c>
      <c r="AD271">
        <v>142</v>
      </c>
      <c r="AE271">
        <v>150.80000000000001</v>
      </c>
    </row>
    <row r="272" spans="1:35" x14ac:dyDescent="0.3">
      <c r="A272" t="s">
        <v>27</v>
      </c>
      <c r="B272">
        <v>2020</v>
      </c>
      <c r="C272" t="s">
        <v>37</v>
      </c>
      <c r="D272">
        <f t="shared" si="5"/>
        <v>8</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s="2">
        <f>'Missing values'!V250</f>
        <v>155.5</v>
      </c>
      <c r="W272">
        <v>145.80000000000001</v>
      </c>
      <c r="X272">
        <v>151.9</v>
      </c>
      <c r="Y272">
        <v>158.80000000000001</v>
      </c>
      <c r="Z272">
        <v>153.6</v>
      </c>
      <c r="AA272">
        <v>162.69999999999999</v>
      </c>
      <c r="AB272">
        <v>152.19999999999999</v>
      </c>
      <c r="AC272">
        <v>143.6</v>
      </c>
      <c r="AD272">
        <v>153</v>
      </c>
      <c r="AE272">
        <v>154.69999999999999</v>
      </c>
    </row>
    <row r="273" spans="1:31" x14ac:dyDescent="0.3">
      <c r="A273" t="s">
        <v>30</v>
      </c>
      <c r="B273">
        <v>2020</v>
      </c>
      <c r="C273" t="s">
        <v>37</v>
      </c>
      <c r="D273">
        <f t="shared" si="5"/>
        <v>8</v>
      </c>
      <c r="E273">
        <v>148.9</v>
      </c>
      <c r="F273">
        <v>190.9</v>
      </c>
      <c r="G273">
        <v>150.80000000000001</v>
      </c>
      <c r="H273">
        <v>153.30000000000001</v>
      </c>
      <c r="I273">
        <v>137.4</v>
      </c>
      <c r="J273">
        <v>150.4</v>
      </c>
      <c r="K273">
        <v>178.1</v>
      </c>
      <c r="L273">
        <v>150.4</v>
      </c>
      <c r="M273">
        <v>115.1</v>
      </c>
      <c r="N273">
        <v>160</v>
      </c>
      <c r="O273">
        <v>140.6</v>
      </c>
      <c r="P273">
        <v>162.30000000000001</v>
      </c>
      <c r="Q273">
        <v>157</v>
      </c>
      <c r="R273">
        <v>182.6</v>
      </c>
      <c r="S273">
        <v>153.1</v>
      </c>
      <c r="T273">
        <v>143.4</v>
      </c>
      <c r="U273">
        <v>151.69999999999999</v>
      </c>
      <c r="V273">
        <v>155.5</v>
      </c>
      <c r="W273">
        <v>143</v>
      </c>
      <c r="X273">
        <v>148.4</v>
      </c>
      <c r="Y273">
        <v>155</v>
      </c>
      <c r="Z273">
        <v>154.30000000000001</v>
      </c>
      <c r="AA273">
        <v>158.5</v>
      </c>
      <c r="AB273">
        <v>146</v>
      </c>
      <c r="AC273">
        <v>138.5</v>
      </c>
      <c r="AD273">
        <v>149</v>
      </c>
      <c r="AE273">
        <v>153.9</v>
      </c>
    </row>
    <row r="274" spans="1:31" x14ac:dyDescent="0.3">
      <c r="A274" t="s">
        <v>29</v>
      </c>
      <c r="B274">
        <v>2020</v>
      </c>
      <c r="C274" t="s">
        <v>37</v>
      </c>
      <c r="D274">
        <f t="shared" si="5"/>
        <v>8</v>
      </c>
      <c r="E274">
        <v>151.6</v>
      </c>
      <c r="F274">
        <v>197.8</v>
      </c>
      <c r="G274">
        <v>154.5</v>
      </c>
      <c r="H274">
        <v>153.4</v>
      </c>
      <c r="I274">
        <v>133.4</v>
      </c>
      <c r="J274">
        <v>154.5</v>
      </c>
      <c r="K274">
        <v>191.9</v>
      </c>
      <c r="L274">
        <v>151.30000000000001</v>
      </c>
      <c r="M274">
        <v>116.8</v>
      </c>
      <c r="N274">
        <v>160</v>
      </c>
      <c r="O274">
        <v>136.5</v>
      </c>
      <c r="P274">
        <v>163.30000000000001</v>
      </c>
      <c r="Q274">
        <v>159.9</v>
      </c>
      <c r="R274">
        <v>187.2</v>
      </c>
      <c r="S274">
        <v>150</v>
      </c>
      <c r="T274">
        <v>135.19999999999999</v>
      </c>
      <c r="U274">
        <v>147.80000000000001</v>
      </c>
      <c r="V274">
        <v>155.5</v>
      </c>
      <c r="W274">
        <v>138.30000000000001</v>
      </c>
      <c r="X274">
        <v>144.5</v>
      </c>
      <c r="Y274">
        <v>148.69999999999999</v>
      </c>
      <c r="Z274">
        <v>155.19999999999999</v>
      </c>
      <c r="AA274">
        <v>155.5</v>
      </c>
      <c r="AB274">
        <v>141.19999999999999</v>
      </c>
      <c r="AC274">
        <v>133.9</v>
      </c>
      <c r="AD274">
        <v>144.80000000000001</v>
      </c>
      <c r="AE274">
        <v>152.9</v>
      </c>
    </row>
    <row r="275" spans="1:31" x14ac:dyDescent="0.3">
      <c r="A275" t="s">
        <v>27</v>
      </c>
      <c r="B275">
        <v>2020</v>
      </c>
      <c r="C275" t="s">
        <v>38</v>
      </c>
      <c r="D275">
        <f t="shared" si="5"/>
        <v>9</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s="2">
        <f>'Missing values'!V280</f>
        <v>156.30000000000001</v>
      </c>
      <c r="W275">
        <v>146.4</v>
      </c>
      <c r="X275">
        <v>151.6</v>
      </c>
      <c r="Y275">
        <v>159.1</v>
      </c>
      <c r="Z275">
        <v>157.4</v>
      </c>
      <c r="AA275">
        <v>161.1</v>
      </c>
      <c r="AB275">
        <v>152.80000000000001</v>
      </c>
      <c r="AC275">
        <v>144.6</v>
      </c>
      <c r="AD275">
        <v>153.69999999999999</v>
      </c>
      <c r="AE275">
        <v>155.4</v>
      </c>
    </row>
    <row r="276" spans="1:31" x14ac:dyDescent="0.3">
      <c r="A276" t="s">
        <v>30</v>
      </c>
      <c r="B276">
        <v>2020</v>
      </c>
      <c r="C276" t="s">
        <v>38</v>
      </c>
      <c r="D276">
        <f t="shared" si="5"/>
        <v>9</v>
      </c>
      <c r="E276">
        <v>148.4</v>
      </c>
      <c r="F276">
        <v>187.1</v>
      </c>
      <c r="G276">
        <v>152.5</v>
      </c>
      <c r="H276">
        <v>153.6</v>
      </c>
      <c r="I276">
        <v>138.19999999999999</v>
      </c>
      <c r="J276">
        <v>150.9</v>
      </c>
      <c r="K276">
        <v>186.7</v>
      </c>
      <c r="L276">
        <v>149.80000000000001</v>
      </c>
      <c r="M276">
        <v>116.4</v>
      </c>
      <c r="N276">
        <v>160.30000000000001</v>
      </c>
      <c r="O276">
        <v>142.19999999999999</v>
      </c>
      <c r="P276">
        <v>162.9</v>
      </c>
      <c r="Q276">
        <v>158</v>
      </c>
      <c r="R276">
        <v>184.4</v>
      </c>
      <c r="S276">
        <v>153.4</v>
      </c>
      <c r="T276">
        <v>144.30000000000001</v>
      </c>
      <c r="U276">
        <v>152</v>
      </c>
      <c r="V276">
        <v>156.30000000000001</v>
      </c>
      <c r="W276">
        <v>142.9</v>
      </c>
      <c r="X276">
        <v>148.69999999999999</v>
      </c>
      <c r="Y276">
        <v>155.6</v>
      </c>
      <c r="Z276">
        <v>158.4</v>
      </c>
      <c r="AA276">
        <v>157.5</v>
      </c>
      <c r="AB276">
        <v>146.6</v>
      </c>
      <c r="AC276">
        <v>139.6</v>
      </c>
      <c r="AD276">
        <v>150</v>
      </c>
      <c r="AE276">
        <v>154.69999999999999</v>
      </c>
    </row>
    <row r="277" spans="1:31" x14ac:dyDescent="0.3">
      <c r="A277" t="s">
        <v>29</v>
      </c>
      <c r="B277">
        <v>2020</v>
      </c>
      <c r="C277" t="s">
        <v>38</v>
      </c>
      <c r="D277">
        <f t="shared" si="5"/>
        <v>9</v>
      </c>
      <c r="E277">
        <v>151.5</v>
      </c>
      <c r="F277">
        <v>193.1</v>
      </c>
      <c r="G277">
        <v>157.30000000000001</v>
      </c>
      <c r="H277">
        <v>153.9</v>
      </c>
      <c r="I277">
        <v>134.4</v>
      </c>
      <c r="J277">
        <v>155.4</v>
      </c>
      <c r="K277">
        <v>202</v>
      </c>
      <c r="L277">
        <v>150.80000000000001</v>
      </c>
      <c r="M277">
        <v>118.9</v>
      </c>
      <c r="N277">
        <v>160.9</v>
      </c>
      <c r="O277">
        <v>137.69999999999999</v>
      </c>
      <c r="P277">
        <v>164.4</v>
      </c>
      <c r="Q277">
        <v>161.30000000000001</v>
      </c>
      <c r="R277">
        <v>188.7</v>
      </c>
      <c r="S277">
        <v>150.19999999999999</v>
      </c>
      <c r="T277">
        <v>136.30000000000001</v>
      </c>
      <c r="U277">
        <v>148.1</v>
      </c>
      <c r="V277">
        <v>156.30000000000001</v>
      </c>
      <c r="W277">
        <v>137.19999999999999</v>
      </c>
      <c r="X277">
        <v>145.4</v>
      </c>
      <c r="Y277">
        <v>150</v>
      </c>
      <c r="Z277">
        <v>159.80000000000001</v>
      </c>
      <c r="AA277">
        <v>154.9</v>
      </c>
      <c r="AB277">
        <v>141.80000000000001</v>
      </c>
      <c r="AC277">
        <v>135.1</v>
      </c>
      <c r="AD277">
        <v>146</v>
      </c>
      <c r="AE277">
        <v>154</v>
      </c>
    </row>
    <row r="278" spans="1:31" x14ac:dyDescent="0.3">
      <c r="A278" t="s">
        <v>27</v>
      </c>
      <c r="B278">
        <v>2020</v>
      </c>
      <c r="C278" t="s">
        <v>39</v>
      </c>
      <c r="D278">
        <f t="shared" si="5"/>
        <v>10</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s="2">
        <f>'Missing values'!V310</f>
        <v>156.5</v>
      </c>
      <c r="W278">
        <v>146.80000000000001</v>
      </c>
      <c r="X278">
        <v>152</v>
      </c>
      <c r="Y278">
        <v>159.5</v>
      </c>
      <c r="Z278">
        <v>156.19999999999999</v>
      </c>
      <c r="AA278">
        <v>162.5</v>
      </c>
      <c r="AB278">
        <v>152.4</v>
      </c>
      <c r="AC278">
        <v>146.4</v>
      </c>
      <c r="AD278">
        <v>154.30000000000001</v>
      </c>
      <c r="AE278">
        <v>157.5</v>
      </c>
    </row>
    <row r="279" spans="1:31" x14ac:dyDescent="0.3">
      <c r="A279" t="s">
        <v>30</v>
      </c>
      <c r="B279">
        <v>2020</v>
      </c>
      <c r="C279" t="s">
        <v>39</v>
      </c>
      <c r="D279">
        <f t="shared" si="5"/>
        <v>10</v>
      </c>
      <c r="E279">
        <v>147.5</v>
      </c>
      <c r="F279">
        <v>188.9</v>
      </c>
      <c r="G279">
        <v>161.4</v>
      </c>
      <c r="H279">
        <v>153.6</v>
      </c>
      <c r="I279">
        <v>140.1</v>
      </c>
      <c r="J279">
        <v>151.19999999999999</v>
      </c>
      <c r="K279">
        <v>209.2</v>
      </c>
      <c r="L279">
        <v>150.9</v>
      </c>
      <c r="M279">
        <v>116.2</v>
      </c>
      <c r="N279">
        <v>161</v>
      </c>
      <c r="O279">
        <v>144</v>
      </c>
      <c r="P279">
        <v>163.19999999999999</v>
      </c>
      <c r="Q279">
        <v>161.4</v>
      </c>
      <c r="R279">
        <v>184.3</v>
      </c>
      <c r="S279">
        <v>153.69999999999999</v>
      </c>
      <c r="T279">
        <v>144.6</v>
      </c>
      <c r="U279">
        <v>152.30000000000001</v>
      </c>
      <c r="V279">
        <v>156.5</v>
      </c>
      <c r="W279">
        <v>143.1</v>
      </c>
      <c r="X279">
        <v>148.69999999999999</v>
      </c>
      <c r="Y279">
        <v>156.30000000000001</v>
      </c>
      <c r="Z279">
        <v>157</v>
      </c>
      <c r="AA279">
        <v>158.5</v>
      </c>
      <c r="AB279">
        <v>146.5</v>
      </c>
      <c r="AC279">
        <v>140.6</v>
      </c>
      <c r="AD279">
        <v>150.4</v>
      </c>
      <c r="AE279">
        <v>156.4</v>
      </c>
    </row>
    <row r="280" spans="1:31" x14ac:dyDescent="0.3">
      <c r="A280" t="s">
        <v>29</v>
      </c>
      <c r="B280">
        <v>2020</v>
      </c>
      <c r="C280" t="s">
        <v>39</v>
      </c>
      <c r="D280">
        <f t="shared" si="5"/>
        <v>10</v>
      </c>
      <c r="E280">
        <v>150.6</v>
      </c>
      <c r="F280">
        <v>193.7</v>
      </c>
      <c r="G280">
        <v>164.8</v>
      </c>
      <c r="H280">
        <v>153.69999999999999</v>
      </c>
      <c r="I280">
        <v>135.69999999999999</v>
      </c>
      <c r="J280">
        <v>155.69999999999999</v>
      </c>
      <c r="K280">
        <v>226</v>
      </c>
      <c r="L280">
        <v>152.19999999999999</v>
      </c>
      <c r="M280">
        <v>118.1</v>
      </c>
      <c r="N280">
        <v>161.30000000000001</v>
      </c>
      <c r="O280">
        <v>139.19999999999999</v>
      </c>
      <c r="P280">
        <v>164.8</v>
      </c>
      <c r="Q280">
        <v>164.4</v>
      </c>
      <c r="R280">
        <v>188.7</v>
      </c>
      <c r="S280">
        <v>150.5</v>
      </c>
      <c r="T280">
        <v>136.1</v>
      </c>
      <c r="U280">
        <v>148.30000000000001</v>
      </c>
      <c r="V280">
        <v>156.5</v>
      </c>
      <c r="W280">
        <v>137.1</v>
      </c>
      <c r="X280">
        <v>145.1</v>
      </c>
      <c r="Y280">
        <v>151</v>
      </c>
      <c r="Z280">
        <v>158.1</v>
      </c>
      <c r="AA280">
        <v>155.69999999999999</v>
      </c>
      <c r="AB280">
        <v>142</v>
      </c>
      <c r="AC280">
        <v>135.4</v>
      </c>
      <c r="AD280">
        <v>146.19999999999999</v>
      </c>
      <c r="AE280">
        <v>155.19999999999999</v>
      </c>
    </row>
    <row r="281" spans="1:31" x14ac:dyDescent="0.3">
      <c r="A281" t="s">
        <v>27</v>
      </c>
      <c r="B281">
        <v>2020</v>
      </c>
      <c r="C281" t="s">
        <v>41</v>
      </c>
      <c r="D281">
        <f t="shared" si="5"/>
        <v>11</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s="2">
        <f>'Missing values'!V340</f>
        <v>158</v>
      </c>
      <c r="W281">
        <v>147.5</v>
      </c>
      <c r="X281">
        <v>152.80000000000001</v>
      </c>
      <c r="Y281">
        <v>160.4</v>
      </c>
      <c r="Z281">
        <v>156.19999999999999</v>
      </c>
      <c r="AA281">
        <v>161.6</v>
      </c>
      <c r="AB281">
        <v>153.6</v>
      </c>
      <c r="AC281">
        <v>146.1</v>
      </c>
      <c r="AD281">
        <v>154.5</v>
      </c>
      <c r="AE281">
        <v>159.80000000000001</v>
      </c>
    </row>
    <row r="282" spans="1:31" x14ac:dyDescent="0.3">
      <c r="A282" t="s">
        <v>30</v>
      </c>
      <c r="B282">
        <v>2020</v>
      </c>
      <c r="C282" t="s">
        <v>41</v>
      </c>
      <c r="D282">
        <f t="shared" si="5"/>
        <v>11</v>
      </c>
      <c r="E282">
        <v>146.80000000000001</v>
      </c>
      <c r="F282">
        <v>191</v>
      </c>
      <c r="G282">
        <v>173.6</v>
      </c>
      <c r="H282">
        <v>153.80000000000001</v>
      </c>
      <c r="I282">
        <v>142.69999999999999</v>
      </c>
      <c r="J282">
        <v>148.4</v>
      </c>
      <c r="K282">
        <v>230</v>
      </c>
      <c r="L282">
        <v>156.80000000000001</v>
      </c>
      <c r="M282">
        <v>115.7</v>
      </c>
      <c r="N282">
        <v>161.80000000000001</v>
      </c>
      <c r="O282">
        <v>146.5</v>
      </c>
      <c r="P282">
        <v>163.80000000000001</v>
      </c>
      <c r="Q282">
        <v>164.7</v>
      </c>
      <c r="R282">
        <v>184.8</v>
      </c>
      <c r="S282">
        <v>154.30000000000001</v>
      </c>
      <c r="T282">
        <v>144.9</v>
      </c>
      <c r="U282">
        <v>152.80000000000001</v>
      </c>
      <c r="V282">
        <v>158</v>
      </c>
      <c r="W282">
        <v>143.6</v>
      </c>
      <c r="X282">
        <v>149.19999999999999</v>
      </c>
      <c r="Y282">
        <v>157.19999999999999</v>
      </c>
      <c r="Z282">
        <v>156.9</v>
      </c>
      <c r="AA282">
        <v>158.6</v>
      </c>
      <c r="AB282">
        <v>148.4</v>
      </c>
      <c r="AC282">
        <v>140.4</v>
      </c>
      <c r="AD282">
        <v>150.69999999999999</v>
      </c>
      <c r="AE282">
        <v>158.4</v>
      </c>
    </row>
    <row r="283" spans="1:31" x14ac:dyDescent="0.3">
      <c r="A283" t="s">
        <v>29</v>
      </c>
      <c r="B283">
        <v>2020</v>
      </c>
      <c r="C283" t="s">
        <v>41</v>
      </c>
      <c r="D283">
        <f t="shared" si="5"/>
        <v>11</v>
      </c>
      <c r="E283">
        <v>149.69999999999999</v>
      </c>
      <c r="F283">
        <v>195.5</v>
      </c>
      <c r="G283">
        <v>176.9</v>
      </c>
      <c r="H283">
        <v>153.9</v>
      </c>
      <c r="I283">
        <v>138</v>
      </c>
      <c r="J283">
        <v>150.5</v>
      </c>
      <c r="K283">
        <v>245.3</v>
      </c>
      <c r="L283">
        <v>158.69999999999999</v>
      </c>
      <c r="M283">
        <v>117.2</v>
      </c>
      <c r="N283">
        <v>161.4</v>
      </c>
      <c r="O283">
        <v>141.5</v>
      </c>
      <c r="P283">
        <v>165.1</v>
      </c>
      <c r="Q283">
        <v>167</v>
      </c>
      <c r="R283">
        <v>188.8</v>
      </c>
      <c r="S283">
        <v>151.1</v>
      </c>
      <c r="T283">
        <v>136.4</v>
      </c>
      <c r="U283">
        <v>148.80000000000001</v>
      </c>
      <c r="V283">
        <v>158</v>
      </c>
      <c r="W283">
        <v>137.30000000000001</v>
      </c>
      <c r="X283">
        <v>145.1</v>
      </c>
      <c r="Y283">
        <v>152</v>
      </c>
      <c r="Z283">
        <v>157.9</v>
      </c>
      <c r="AA283">
        <v>156.4</v>
      </c>
      <c r="AB283">
        <v>144.4</v>
      </c>
      <c r="AC283">
        <v>135.19999999999999</v>
      </c>
      <c r="AD283">
        <v>146.6</v>
      </c>
      <c r="AE283">
        <v>156.69999999999999</v>
      </c>
    </row>
    <row r="284" spans="1:31" x14ac:dyDescent="0.3">
      <c r="A284" t="s">
        <v>27</v>
      </c>
      <c r="B284">
        <v>2020</v>
      </c>
      <c r="C284" t="s">
        <v>42</v>
      </c>
      <c r="D284">
        <f t="shared" si="5"/>
        <v>12</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s="2">
        <f>'Missing values'!V370</f>
        <v>158.4</v>
      </c>
      <c r="W284">
        <v>148.69999999999999</v>
      </c>
      <c r="X284">
        <v>153.4</v>
      </c>
      <c r="Y284">
        <v>161.6</v>
      </c>
      <c r="Z284">
        <v>156.6</v>
      </c>
      <c r="AA284">
        <v>162.9</v>
      </c>
      <c r="AB284">
        <v>153.9</v>
      </c>
      <c r="AC284">
        <v>146.4</v>
      </c>
      <c r="AD284">
        <v>155.19999999999999</v>
      </c>
      <c r="AE284">
        <v>160.69999999999999</v>
      </c>
    </row>
    <row r="285" spans="1:31" x14ac:dyDescent="0.3">
      <c r="A285" t="s">
        <v>30</v>
      </c>
      <c r="B285">
        <v>2020</v>
      </c>
      <c r="C285" t="s">
        <v>42</v>
      </c>
      <c r="D285">
        <f t="shared" si="5"/>
        <v>12</v>
      </c>
      <c r="E285">
        <v>146</v>
      </c>
      <c r="F285">
        <v>191</v>
      </c>
      <c r="G285">
        <v>175.3</v>
      </c>
      <c r="H285">
        <v>154.1</v>
      </c>
      <c r="I285">
        <v>146.6</v>
      </c>
      <c r="J285">
        <v>147.69999999999999</v>
      </c>
      <c r="K285">
        <v>230.5</v>
      </c>
      <c r="L285">
        <v>160.19999999999999</v>
      </c>
      <c r="M285">
        <v>115.3</v>
      </c>
      <c r="N285">
        <v>163</v>
      </c>
      <c r="O285">
        <v>149.19999999999999</v>
      </c>
      <c r="P285">
        <v>164.8</v>
      </c>
      <c r="Q285">
        <v>165.4</v>
      </c>
      <c r="R285">
        <v>185.4</v>
      </c>
      <c r="S285">
        <v>155</v>
      </c>
      <c r="T285">
        <v>145.4</v>
      </c>
      <c r="U285">
        <v>153.6</v>
      </c>
      <c r="V285">
        <v>158.4</v>
      </c>
      <c r="W285">
        <v>144.6</v>
      </c>
      <c r="X285">
        <v>149.69999999999999</v>
      </c>
      <c r="Y285">
        <v>158.30000000000001</v>
      </c>
      <c r="Z285">
        <v>157.1</v>
      </c>
      <c r="AA285">
        <v>159.4</v>
      </c>
      <c r="AB285">
        <v>148.5</v>
      </c>
      <c r="AC285">
        <v>140.69999999999999</v>
      </c>
      <c r="AD285">
        <v>151.19999999999999</v>
      </c>
      <c r="AE285">
        <v>158.9</v>
      </c>
    </row>
    <row r="286" spans="1:31" x14ac:dyDescent="0.3">
      <c r="A286" t="s">
        <v>29</v>
      </c>
      <c r="B286">
        <v>2020</v>
      </c>
      <c r="C286" t="s">
        <v>42</v>
      </c>
      <c r="D286">
        <f t="shared" si="5"/>
        <v>12</v>
      </c>
      <c r="E286">
        <v>149</v>
      </c>
      <c r="F286">
        <v>195.7</v>
      </c>
      <c r="G286">
        <v>178.3</v>
      </c>
      <c r="H286">
        <v>154.19999999999999</v>
      </c>
      <c r="I286">
        <v>140.69999999999999</v>
      </c>
      <c r="J286">
        <v>149.69999999999999</v>
      </c>
      <c r="K286">
        <v>240.9</v>
      </c>
      <c r="L286">
        <v>161.5</v>
      </c>
      <c r="M286">
        <v>117.1</v>
      </c>
      <c r="N286">
        <v>161.9</v>
      </c>
      <c r="O286">
        <v>143.30000000000001</v>
      </c>
      <c r="P286">
        <v>166.1</v>
      </c>
      <c r="Q286">
        <v>167</v>
      </c>
      <c r="R286">
        <v>190.2</v>
      </c>
      <c r="S286">
        <v>151.9</v>
      </c>
      <c r="T286">
        <v>136.69999999999999</v>
      </c>
      <c r="U286">
        <v>149.6</v>
      </c>
      <c r="V286">
        <v>158.4</v>
      </c>
      <c r="W286">
        <v>137.9</v>
      </c>
      <c r="X286">
        <v>145.5</v>
      </c>
      <c r="Y286">
        <v>152.9</v>
      </c>
      <c r="Z286">
        <v>157.9</v>
      </c>
      <c r="AA286">
        <v>156.9</v>
      </c>
      <c r="AB286">
        <v>144.30000000000001</v>
      </c>
      <c r="AC286">
        <v>135.5</v>
      </c>
      <c r="AD286">
        <v>146.9</v>
      </c>
      <c r="AE286">
        <v>156.9</v>
      </c>
    </row>
    <row r="287" spans="1:31" x14ac:dyDescent="0.3">
      <c r="A287" t="s">
        <v>27</v>
      </c>
      <c r="B287">
        <v>2021</v>
      </c>
      <c r="C287" t="s">
        <v>28</v>
      </c>
      <c r="D287">
        <f t="shared" si="5"/>
        <v>1</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s="2">
        <f>'Missing values'!V31</f>
        <v>157.69999999999999</v>
      </c>
      <c r="W287">
        <v>150.9</v>
      </c>
      <c r="X287">
        <v>153.9</v>
      </c>
      <c r="Y287">
        <v>162.5</v>
      </c>
      <c r="Z287">
        <v>156.19999999999999</v>
      </c>
      <c r="AA287">
        <v>163.5</v>
      </c>
      <c r="AB287">
        <v>155.1</v>
      </c>
      <c r="AC287">
        <v>147.5</v>
      </c>
      <c r="AD287">
        <v>155.9</v>
      </c>
      <c r="AE287">
        <v>158.5</v>
      </c>
    </row>
    <row r="288" spans="1:31" x14ac:dyDescent="0.3">
      <c r="A288" t="s">
        <v>30</v>
      </c>
      <c r="B288">
        <v>2021</v>
      </c>
      <c r="C288" t="s">
        <v>28</v>
      </c>
      <c r="D288">
        <f t="shared" si="5"/>
        <v>1</v>
      </c>
      <c r="E288">
        <v>144.9</v>
      </c>
      <c r="F288">
        <v>190.1</v>
      </c>
      <c r="G288">
        <v>175.3</v>
      </c>
      <c r="H288">
        <v>154.1</v>
      </c>
      <c r="I288">
        <v>150.9</v>
      </c>
      <c r="J288">
        <v>149.6</v>
      </c>
      <c r="K288">
        <v>194.2</v>
      </c>
      <c r="L288">
        <v>160.4</v>
      </c>
      <c r="M288">
        <v>114.6</v>
      </c>
      <c r="N288">
        <v>164</v>
      </c>
      <c r="O288">
        <v>151.80000000000001</v>
      </c>
      <c r="P288">
        <v>165.6</v>
      </c>
      <c r="Q288">
        <v>161</v>
      </c>
      <c r="R288">
        <v>186.5</v>
      </c>
      <c r="S288">
        <v>155.5</v>
      </c>
      <c r="T288">
        <v>146.1</v>
      </c>
      <c r="U288">
        <v>154.19999999999999</v>
      </c>
      <c r="V288">
        <v>157.69999999999999</v>
      </c>
      <c r="W288">
        <v>147.9</v>
      </c>
      <c r="X288">
        <v>150</v>
      </c>
      <c r="Y288">
        <v>159.30000000000001</v>
      </c>
      <c r="Z288">
        <v>156.80000000000001</v>
      </c>
      <c r="AA288">
        <v>159.19999999999999</v>
      </c>
      <c r="AB288">
        <v>149.6</v>
      </c>
      <c r="AC288">
        <v>141.9</v>
      </c>
      <c r="AD288">
        <v>151.9</v>
      </c>
      <c r="AE288">
        <v>157.30000000000001</v>
      </c>
    </row>
    <row r="289" spans="1:31" x14ac:dyDescent="0.3">
      <c r="A289" t="s">
        <v>29</v>
      </c>
      <c r="B289">
        <v>2021</v>
      </c>
      <c r="C289" t="s">
        <v>28</v>
      </c>
      <c r="D289">
        <f t="shared" si="5"/>
        <v>1</v>
      </c>
      <c r="E289">
        <v>148</v>
      </c>
      <c r="F289">
        <v>194.8</v>
      </c>
      <c r="G289">
        <v>178.4</v>
      </c>
      <c r="H289">
        <v>154.4</v>
      </c>
      <c r="I289">
        <v>144.1</v>
      </c>
      <c r="J289">
        <v>152.6</v>
      </c>
      <c r="K289">
        <v>206.8</v>
      </c>
      <c r="L289">
        <v>162.1</v>
      </c>
      <c r="M289">
        <v>116.3</v>
      </c>
      <c r="N289">
        <v>163</v>
      </c>
      <c r="O289">
        <v>145.9</v>
      </c>
      <c r="P289">
        <v>167.2</v>
      </c>
      <c r="Q289">
        <v>163.4</v>
      </c>
      <c r="R289">
        <v>191.8</v>
      </c>
      <c r="S289">
        <v>152.5</v>
      </c>
      <c r="T289">
        <v>137.30000000000001</v>
      </c>
      <c r="U289">
        <v>150.19999999999999</v>
      </c>
      <c r="V289">
        <v>157.69999999999999</v>
      </c>
      <c r="W289">
        <v>142.9</v>
      </c>
      <c r="X289">
        <v>145.69999999999999</v>
      </c>
      <c r="Y289">
        <v>154.1</v>
      </c>
      <c r="Z289">
        <v>157.69999999999999</v>
      </c>
      <c r="AA289">
        <v>156.1</v>
      </c>
      <c r="AB289">
        <v>145.4</v>
      </c>
      <c r="AC289">
        <v>136.9</v>
      </c>
      <c r="AD289">
        <v>147.6</v>
      </c>
      <c r="AE289">
        <v>156</v>
      </c>
    </row>
    <row r="290" spans="1:31" x14ac:dyDescent="0.3">
      <c r="A290" t="s">
        <v>27</v>
      </c>
      <c r="B290">
        <v>2021</v>
      </c>
      <c r="C290" t="s">
        <v>31</v>
      </c>
      <c r="D290">
        <f t="shared" si="5"/>
        <v>2</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s="2">
        <f>'Missing values'!V64</f>
        <v>159.80000000000001</v>
      </c>
      <c r="W290">
        <v>154.4</v>
      </c>
      <c r="X290">
        <v>154.80000000000001</v>
      </c>
      <c r="Y290">
        <v>164.3</v>
      </c>
      <c r="Z290">
        <v>155.19999999999999</v>
      </c>
      <c r="AA290">
        <v>163.6</v>
      </c>
      <c r="AB290">
        <v>157</v>
      </c>
      <c r="AC290">
        <v>150.19999999999999</v>
      </c>
      <c r="AD290">
        <v>157.19999999999999</v>
      </c>
      <c r="AE290">
        <v>156.69999999999999</v>
      </c>
    </row>
    <row r="291" spans="1:31" x14ac:dyDescent="0.3">
      <c r="A291" t="s">
        <v>30</v>
      </c>
      <c r="B291">
        <v>2021</v>
      </c>
      <c r="C291" t="s">
        <v>31</v>
      </c>
      <c r="D291">
        <f t="shared" si="5"/>
        <v>2</v>
      </c>
      <c r="E291">
        <v>144.30000000000001</v>
      </c>
      <c r="F291">
        <v>186.5</v>
      </c>
      <c r="G291">
        <v>168.7</v>
      </c>
      <c r="H291">
        <v>154.69999999999999</v>
      </c>
      <c r="I291">
        <v>158.69999999999999</v>
      </c>
      <c r="J291">
        <v>150.69999999999999</v>
      </c>
      <c r="K291">
        <v>160</v>
      </c>
      <c r="L291">
        <v>158.80000000000001</v>
      </c>
      <c r="M291">
        <v>112.8</v>
      </c>
      <c r="N291">
        <v>164.2</v>
      </c>
      <c r="O291">
        <v>155.5</v>
      </c>
      <c r="P291">
        <v>167.5</v>
      </c>
      <c r="Q291">
        <v>156.9</v>
      </c>
      <c r="R291">
        <v>188.3</v>
      </c>
      <c r="S291">
        <v>157.19999999999999</v>
      </c>
      <c r="T291">
        <v>147.4</v>
      </c>
      <c r="U291">
        <v>155.80000000000001</v>
      </c>
      <c r="V291">
        <v>159.80000000000001</v>
      </c>
      <c r="W291">
        <v>152.4</v>
      </c>
      <c r="X291">
        <v>150.9</v>
      </c>
      <c r="Y291">
        <v>161.30000000000001</v>
      </c>
      <c r="Z291">
        <v>155.80000000000001</v>
      </c>
      <c r="AA291">
        <v>159.5</v>
      </c>
      <c r="AB291">
        <v>151.5</v>
      </c>
      <c r="AC291">
        <v>145.1</v>
      </c>
      <c r="AD291">
        <v>153.4</v>
      </c>
      <c r="AE291">
        <v>156.6</v>
      </c>
    </row>
    <row r="292" spans="1:31" x14ac:dyDescent="0.3">
      <c r="A292" t="s">
        <v>29</v>
      </c>
      <c r="B292">
        <v>2021</v>
      </c>
      <c r="C292" t="s">
        <v>31</v>
      </c>
      <c r="D292">
        <f t="shared" si="5"/>
        <v>2</v>
      </c>
      <c r="E292">
        <v>147.6</v>
      </c>
      <c r="F292">
        <v>191.2</v>
      </c>
      <c r="G292">
        <v>169.9</v>
      </c>
      <c r="H292">
        <v>155.1</v>
      </c>
      <c r="I292">
        <v>151.4</v>
      </c>
      <c r="J292">
        <v>154</v>
      </c>
      <c r="K292">
        <v>180.2</v>
      </c>
      <c r="L292">
        <v>159.80000000000001</v>
      </c>
      <c r="M292">
        <v>114.9</v>
      </c>
      <c r="N292">
        <v>162.5</v>
      </c>
      <c r="O292">
        <v>149.19999999999999</v>
      </c>
      <c r="P292">
        <v>169.4</v>
      </c>
      <c r="Q292">
        <v>160.80000000000001</v>
      </c>
      <c r="R292">
        <v>193.3</v>
      </c>
      <c r="S292">
        <v>154.19999999999999</v>
      </c>
      <c r="T292">
        <v>138.19999999999999</v>
      </c>
      <c r="U292">
        <v>151.80000000000001</v>
      </c>
      <c r="V292">
        <v>159.80000000000001</v>
      </c>
      <c r="W292">
        <v>149.1</v>
      </c>
      <c r="X292">
        <v>146.5</v>
      </c>
      <c r="Y292">
        <v>156.30000000000001</v>
      </c>
      <c r="Z292">
        <v>156.69999999999999</v>
      </c>
      <c r="AA292">
        <v>156.6</v>
      </c>
      <c r="AB292">
        <v>147.30000000000001</v>
      </c>
      <c r="AC292">
        <v>140.5</v>
      </c>
      <c r="AD292">
        <v>149.30000000000001</v>
      </c>
      <c r="AE292">
        <v>156.5</v>
      </c>
    </row>
    <row r="293" spans="1:31" x14ac:dyDescent="0.3">
      <c r="A293" t="s">
        <v>27</v>
      </c>
      <c r="B293">
        <v>2021</v>
      </c>
      <c r="C293" t="s">
        <v>32</v>
      </c>
      <c r="D293">
        <f t="shared" si="5"/>
        <v>3</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s="2">
        <f>'Missing values'!V97</f>
        <v>159.9</v>
      </c>
      <c r="W293">
        <v>156</v>
      </c>
      <c r="X293">
        <v>154.80000000000001</v>
      </c>
      <c r="Y293">
        <v>164.6</v>
      </c>
      <c r="Z293">
        <v>153.1</v>
      </c>
      <c r="AA293">
        <v>163.80000000000001</v>
      </c>
      <c r="AB293">
        <v>157.80000000000001</v>
      </c>
      <c r="AC293">
        <v>151.30000000000001</v>
      </c>
      <c r="AD293">
        <v>157.30000000000001</v>
      </c>
      <c r="AE293">
        <v>156.69999999999999</v>
      </c>
    </row>
    <row r="294" spans="1:31" x14ac:dyDescent="0.3">
      <c r="A294" t="s">
        <v>30</v>
      </c>
      <c r="B294">
        <v>2021</v>
      </c>
      <c r="C294" t="s">
        <v>32</v>
      </c>
      <c r="D294">
        <f t="shared" si="5"/>
        <v>3</v>
      </c>
      <c r="E294">
        <v>144.1</v>
      </c>
      <c r="F294">
        <v>192.2</v>
      </c>
      <c r="G294">
        <v>163.80000000000001</v>
      </c>
      <c r="H294">
        <v>154.9</v>
      </c>
      <c r="I294">
        <v>163.9</v>
      </c>
      <c r="J294">
        <v>153.69999999999999</v>
      </c>
      <c r="K294">
        <v>149.5</v>
      </c>
      <c r="L294">
        <v>159.80000000000001</v>
      </c>
      <c r="M294">
        <v>112.6</v>
      </c>
      <c r="N294">
        <v>163.5</v>
      </c>
      <c r="O294">
        <v>156.5</v>
      </c>
      <c r="P294">
        <v>168.2</v>
      </c>
      <c r="Q294">
        <v>156.69999999999999</v>
      </c>
      <c r="R294">
        <v>188.1</v>
      </c>
      <c r="S294">
        <v>157.80000000000001</v>
      </c>
      <c r="T294">
        <v>147.9</v>
      </c>
      <c r="U294">
        <v>156.4</v>
      </c>
      <c r="V294">
        <v>159.9</v>
      </c>
      <c r="W294">
        <v>155.5</v>
      </c>
      <c r="X294">
        <v>151.19999999999999</v>
      </c>
      <c r="Y294">
        <v>161.69999999999999</v>
      </c>
      <c r="Z294">
        <v>153.80000000000001</v>
      </c>
      <c r="AA294">
        <v>160.19999999999999</v>
      </c>
      <c r="AB294">
        <v>152.6</v>
      </c>
      <c r="AC294">
        <v>146.19999999999999</v>
      </c>
      <c r="AD294">
        <v>153.80000000000001</v>
      </c>
      <c r="AE294">
        <v>156.80000000000001</v>
      </c>
    </row>
    <row r="295" spans="1:31" x14ac:dyDescent="0.3">
      <c r="A295" t="s">
        <v>29</v>
      </c>
      <c r="B295">
        <v>2021</v>
      </c>
      <c r="C295" t="s">
        <v>32</v>
      </c>
      <c r="D295">
        <f t="shared" si="5"/>
        <v>3</v>
      </c>
      <c r="E295">
        <v>147.5</v>
      </c>
      <c r="F295">
        <v>197.5</v>
      </c>
      <c r="G295">
        <v>164.7</v>
      </c>
      <c r="H295">
        <v>155.6</v>
      </c>
      <c r="I295">
        <v>156.4</v>
      </c>
      <c r="J295">
        <v>157.30000000000001</v>
      </c>
      <c r="K295">
        <v>166.1</v>
      </c>
      <c r="L295">
        <v>161.1</v>
      </c>
      <c r="M295">
        <v>114.3</v>
      </c>
      <c r="N295">
        <v>162.6</v>
      </c>
      <c r="O295">
        <v>150.69999999999999</v>
      </c>
      <c r="P295">
        <v>170.3</v>
      </c>
      <c r="Q295">
        <v>160.4</v>
      </c>
      <c r="R295">
        <v>193.5</v>
      </c>
      <c r="S295">
        <v>155.1</v>
      </c>
      <c r="T295">
        <v>138.69999999999999</v>
      </c>
      <c r="U295">
        <v>152.6</v>
      </c>
      <c r="V295">
        <v>159.9</v>
      </c>
      <c r="W295">
        <v>154.80000000000001</v>
      </c>
      <c r="X295">
        <v>147.19999999999999</v>
      </c>
      <c r="Y295">
        <v>156.9</v>
      </c>
      <c r="Z295">
        <v>154.9</v>
      </c>
      <c r="AA295">
        <v>157.6</v>
      </c>
      <c r="AB295">
        <v>148.6</v>
      </c>
      <c r="AC295">
        <v>141.69999999999999</v>
      </c>
      <c r="AD295">
        <v>150</v>
      </c>
      <c r="AE295">
        <v>156.9</v>
      </c>
    </row>
    <row r="296" spans="1:31" x14ac:dyDescent="0.3">
      <c r="A296" t="s">
        <v>27</v>
      </c>
      <c r="B296">
        <v>2021</v>
      </c>
      <c r="C296" t="s">
        <v>33</v>
      </c>
      <c r="D296">
        <f t="shared" si="5"/>
        <v>4</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s="2">
        <f>'Missing values'!V127</f>
        <v>161.4</v>
      </c>
      <c r="W296">
        <v>156</v>
      </c>
      <c r="X296">
        <v>155.5</v>
      </c>
      <c r="Y296">
        <v>165.3</v>
      </c>
      <c r="Z296">
        <v>154.6</v>
      </c>
      <c r="AA296">
        <v>164.1</v>
      </c>
      <c r="AB296">
        <v>158.6</v>
      </c>
      <c r="AC296">
        <v>151.69999999999999</v>
      </c>
      <c r="AD296">
        <v>158</v>
      </c>
      <c r="AE296">
        <v>157.6</v>
      </c>
    </row>
    <row r="297" spans="1:31" x14ac:dyDescent="0.3">
      <c r="A297" t="s">
        <v>30</v>
      </c>
      <c r="B297">
        <v>2021</v>
      </c>
      <c r="C297" t="s">
        <v>33</v>
      </c>
      <c r="D297">
        <f t="shared" si="5"/>
        <v>4</v>
      </c>
      <c r="E297">
        <v>144.30000000000001</v>
      </c>
      <c r="F297">
        <v>198</v>
      </c>
      <c r="G297">
        <v>164.6</v>
      </c>
      <c r="H297">
        <v>155.4</v>
      </c>
      <c r="I297">
        <v>170.1</v>
      </c>
      <c r="J297">
        <v>164.4</v>
      </c>
      <c r="K297">
        <v>144.1</v>
      </c>
      <c r="L297">
        <v>161.69999999999999</v>
      </c>
      <c r="M297">
        <v>113.1</v>
      </c>
      <c r="N297">
        <v>163.9</v>
      </c>
      <c r="O297">
        <v>157.6</v>
      </c>
      <c r="P297">
        <v>168.9</v>
      </c>
      <c r="Q297">
        <v>158</v>
      </c>
      <c r="R297">
        <v>188.8</v>
      </c>
      <c r="S297">
        <v>158.80000000000001</v>
      </c>
      <c r="T297">
        <v>148.5</v>
      </c>
      <c r="U297">
        <v>157.30000000000001</v>
      </c>
      <c r="V297">
        <v>161.4</v>
      </c>
      <c r="W297">
        <v>155.6</v>
      </c>
      <c r="X297">
        <v>151.80000000000001</v>
      </c>
      <c r="Y297">
        <v>162.30000000000001</v>
      </c>
      <c r="Z297">
        <v>155.4</v>
      </c>
      <c r="AA297">
        <v>160.30000000000001</v>
      </c>
      <c r="AB297">
        <v>153.19999999999999</v>
      </c>
      <c r="AC297">
        <v>146.6</v>
      </c>
      <c r="AD297">
        <v>154.4</v>
      </c>
      <c r="AE297">
        <v>157.80000000000001</v>
      </c>
    </row>
    <row r="298" spans="1:31" x14ac:dyDescent="0.3">
      <c r="A298" t="s">
        <v>29</v>
      </c>
      <c r="B298">
        <v>2021</v>
      </c>
      <c r="C298" t="s">
        <v>33</v>
      </c>
      <c r="D298">
        <f t="shared" si="5"/>
        <v>4</v>
      </c>
      <c r="E298">
        <v>147.6</v>
      </c>
      <c r="F298">
        <v>202.5</v>
      </c>
      <c r="G298">
        <v>166.4</v>
      </c>
      <c r="H298">
        <v>156</v>
      </c>
      <c r="I298">
        <v>161.4</v>
      </c>
      <c r="J298">
        <v>168.8</v>
      </c>
      <c r="K298">
        <v>161.6</v>
      </c>
      <c r="L298">
        <v>162.80000000000001</v>
      </c>
      <c r="M298">
        <v>114.8</v>
      </c>
      <c r="N298">
        <v>162.80000000000001</v>
      </c>
      <c r="O298">
        <v>151.5</v>
      </c>
      <c r="P298">
        <v>171.4</v>
      </c>
      <c r="Q298">
        <v>162</v>
      </c>
      <c r="R298">
        <v>194.4</v>
      </c>
      <c r="S298">
        <v>155.9</v>
      </c>
      <c r="T298">
        <v>139.30000000000001</v>
      </c>
      <c r="U298">
        <v>153.4</v>
      </c>
      <c r="V298">
        <v>161.4</v>
      </c>
      <c r="W298">
        <v>154.9</v>
      </c>
      <c r="X298">
        <v>147.6</v>
      </c>
      <c r="Y298">
        <v>157.5</v>
      </c>
      <c r="Z298">
        <v>156.6</v>
      </c>
      <c r="AA298">
        <v>157.6</v>
      </c>
      <c r="AB298">
        <v>149.1</v>
      </c>
      <c r="AC298">
        <v>142.1</v>
      </c>
      <c r="AD298">
        <v>150.5</v>
      </c>
      <c r="AE298">
        <v>158</v>
      </c>
    </row>
    <row r="299" spans="1:31" x14ac:dyDescent="0.3">
      <c r="A299" t="s">
        <v>27</v>
      </c>
      <c r="B299">
        <v>2021</v>
      </c>
      <c r="C299" t="s">
        <v>34</v>
      </c>
      <c r="D299">
        <f t="shared" si="5"/>
        <v>5</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s="2">
        <f>'Missing values'!V160</f>
        <v>161.6</v>
      </c>
      <c r="W299">
        <v>161.69999999999999</v>
      </c>
      <c r="X299">
        <v>158.80000000000001</v>
      </c>
      <c r="Y299">
        <v>169.1</v>
      </c>
      <c r="Z299">
        <v>159.30000000000001</v>
      </c>
      <c r="AA299">
        <v>167.6</v>
      </c>
      <c r="AB299">
        <v>160</v>
      </c>
      <c r="AC299">
        <v>153.19999999999999</v>
      </c>
      <c r="AD299">
        <v>161.1</v>
      </c>
      <c r="AE299">
        <v>161.1</v>
      </c>
    </row>
    <row r="300" spans="1:31" x14ac:dyDescent="0.3">
      <c r="A300" t="s">
        <v>30</v>
      </c>
      <c r="B300">
        <v>2021</v>
      </c>
      <c r="C300" t="s">
        <v>34</v>
      </c>
      <c r="D300">
        <f t="shared" si="5"/>
        <v>5</v>
      </c>
      <c r="E300">
        <v>146.30000000000001</v>
      </c>
      <c r="F300">
        <v>200.5</v>
      </c>
      <c r="G300">
        <v>170.3</v>
      </c>
      <c r="H300">
        <v>156.1</v>
      </c>
      <c r="I300">
        <v>178.7</v>
      </c>
      <c r="J300">
        <v>167.1</v>
      </c>
      <c r="K300">
        <v>147.9</v>
      </c>
      <c r="L300">
        <v>165.4</v>
      </c>
      <c r="M300">
        <v>114.8</v>
      </c>
      <c r="N300">
        <v>168.2</v>
      </c>
      <c r="O300">
        <v>159.30000000000001</v>
      </c>
      <c r="P300">
        <v>170.4</v>
      </c>
      <c r="Q300">
        <v>160.69999999999999</v>
      </c>
      <c r="R300">
        <v>191.9</v>
      </c>
      <c r="S300">
        <v>161.80000000000001</v>
      </c>
      <c r="T300">
        <v>152.1</v>
      </c>
      <c r="U300">
        <v>160.4</v>
      </c>
      <c r="V300">
        <v>161.6</v>
      </c>
      <c r="W300">
        <v>159.4</v>
      </c>
      <c r="X300">
        <v>154.69999999999999</v>
      </c>
      <c r="Y300">
        <v>165.8</v>
      </c>
      <c r="Z300">
        <v>158.6</v>
      </c>
      <c r="AA300">
        <v>161.19999999999999</v>
      </c>
      <c r="AB300">
        <v>155.80000000000001</v>
      </c>
      <c r="AC300">
        <v>148.9</v>
      </c>
      <c r="AD300">
        <v>156.80000000000001</v>
      </c>
      <c r="AE300">
        <v>160.4</v>
      </c>
    </row>
    <row r="301" spans="1:31" x14ac:dyDescent="0.3">
      <c r="A301" t="s">
        <v>29</v>
      </c>
      <c r="B301">
        <v>2021</v>
      </c>
      <c r="C301" t="s">
        <v>34</v>
      </c>
      <c r="D301">
        <f t="shared" si="5"/>
        <v>5</v>
      </c>
      <c r="E301">
        <v>148.80000000000001</v>
      </c>
      <c r="F301">
        <v>204.3</v>
      </c>
      <c r="G301">
        <v>173</v>
      </c>
      <c r="H301">
        <v>156.5</v>
      </c>
      <c r="I301">
        <v>168.8</v>
      </c>
      <c r="J301">
        <v>172.5</v>
      </c>
      <c r="K301">
        <v>166.5</v>
      </c>
      <c r="L301">
        <v>165.9</v>
      </c>
      <c r="M301">
        <v>115.9</v>
      </c>
      <c r="N301">
        <v>165.2</v>
      </c>
      <c r="O301">
        <v>152</v>
      </c>
      <c r="P301">
        <v>171.1</v>
      </c>
      <c r="Q301">
        <v>164.2</v>
      </c>
      <c r="R301">
        <v>198.2</v>
      </c>
      <c r="S301">
        <v>156.5</v>
      </c>
      <c r="T301">
        <v>140.19999999999999</v>
      </c>
      <c r="U301">
        <v>154.1</v>
      </c>
      <c r="V301">
        <v>161.6</v>
      </c>
      <c r="W301">
        <v>155.5</v>
      </c>
      <c r="X301">
        <v>150.1</v>
      </c>
      <c r="Y301">
        <v>160.4</v>
      </c>
      <c r="Z301">
        <v>157.5</v>
      </c>
      <c r="AA301">
        <v>156.6</v>
      </c>
      <c r="AB301">
        <v>152.6</v>
      </c>
      <c r="AC301">
        <v>145</v>
      </c>
      <c r="AD301">
        <v>152.30000000000001</v>
      </c>
      <c r="AE301">
        <v>159.5</v>
      </c>
    </row>
    <row r="302" spans="1:31" x14ac:dyDescent="0.3">
      <c r="A302" t="s">
        <v>27</v>
      </c>
      <c r="B302">
        <v>2021</v>
      </c>
      <c r="C302" t="s">
        <v>35</v>
      </c>
      <c r="D302">
        <f t="shared" ref="D302:D365" si="6">IF(C302="January",1,
IF(C302="february",2,
IF(C302="march",3,
IF(C302="april",4,
IF(C302="may",5,
IF(C302="june",6,
IF(C302="july",7,
IF(C302="august",8,
IF(C302="september",9,
IF(C302="october",10,
IF(C302="november",11,
IF(C302="december",12,
))))))))))))</f>
        <v>6</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s="2">
        <f>'Missing values'!V193</f>
        <v>160.5</v>
      </c>
      <c r="W302">
        <v>162.1</v>
      </c>
      <c r="X302">
        <v>159.19999999999999</v>
      </c>
      <c r="Y302">
        <v>169.7</v>
      </c>
      <c r="Z302">
        <v>159.4</v>
      </c>
      <c r="AA302">
        <v>166.8</v>
      </c>
      <c r="AB302">
        <v>160.4</v>
      </c>
      <c r="AC302">
        <v>154.19999999999999</v>
      </c>
      <c r="AD302">
        <v>161.5</v>
      </c>
      <c r="AE302">
        <v>162.1</v>
      </c>
    </row>
    <row r="303" spans="1:31" x14ac:dyDescent="0.3">
      <c r="A303" t="s">
        <v>30</v>
      </c>
      <c r="B303">
        <v>2021</v>
      </c>
      <c r="C303" t="s">
        <v>35</v>
      </c>
      <c r="D303">
        <f t="shared" si="6"/>
        <v>6</v>
      </c>
      <c r="E303">
        <v>146.69999999999999</v>
      </c>
      <c r="F303">
        <v>202</v>
      </c>
      <c r="G303">
        <v>180.7</v>
      </c>
      <c r="H303">
        <v>156.19999999999999</v>
      </c>
      <c r="I303">
        <v>183.7</v>
      </c>
      <c r="J303">
        <v>164.6</v>
      </c>
      <c r="K303">
        <v>155.4</v>
      </c>
      <c r="L303">
        <v>166</v>
      </c>
      <c r="M303">
        <v>115.1</v>
      </c>
      <c r="N303">
        <v>168.5</v>
      </c>
      <c r="O303">
        <v>160</v>
      </c>
      <c r="P303">
        <v>172.4</v>
      </c>
      <c r="Q303">
        <v>162.6</v>
      </c>
      <c r="R303">
        <v>190.8</v>
      </c>
      <c r="S303">
        <v>162.19999999999999</v>
      </c>
      <c r="T303">
        <v>151.80000000000001</v>
      </c>
      <c r="U303">
        <v>160.69999999999999</v>
      </c>
      <c r="V303">
        <v>160.5</v>
      </c>
      <c r="W303">
        <v>159.80000000000001</v>
      </c>
      <c r="X303">
        <v>154.80000000000001</v>
      </c>
      <c r="Y303">
        <v>166.3</v>
      </c>
      <c r="Z303">
        <v>158.80000000000001</v>
      </c>
      <c r="AA303">
        <v>161.69999999999999</v>
      </c>
      <c r="AB303">
        <v>154.9</v>
      </c>
      <c r="AC303">
        <v>150.69999999999999</v>
      </c>
      <c r="AD303">
        <v>157.6</v>
      </c>
      <c r="AE303">
        <v>161.30000000000001</v>
      </c>
    </row>
    <row r="304" spans="1:31" x14ac:dyDescent="0.3">
      <c r="A304" t="s">
        <v>29</v>
      </c>
      <c r="B304">
        <v>2021</v>
      </c>
      <c r="C304" t="s">
        <v>35</v>
      </c>
      <c r="D304">
        <f t="shared" si="6"/>
        <v>6</v>
      </c>
      <c r="E304">
        <v>149.19999999999999</v>
      </c>
      <c r="F304">
        <v>205.5</v>
      </c>
      <c r="G304">
        <v>182.8</v>
      </c>
      <c r="H304">
        <v>156.5</v>
      </c>
      <c r="I304">
        <v>172.2</v>
      </c>
      <c r="J304">
        <v>171.5</v>
      </c>
      <c r="K304">
        <v>176.2</v>
      </c>
      <c r="L304">
        <v>166.9</v>
      </c>
      <c r="M304">
        <v>116.1</v>
      </c>
      <c r="N304">
        <v>165.5</v>
      </c>
      <c r="O304">
        <v>152.30000000000001</v>
      </c>
      <c r="P304">
        <v>173.3</v>
      </c>
      <c r="Q304">
        <v>166.2</v>
      </c>
      <c r="R304">
        <v>195.6</v>
      </c>
      <c r="S304">
        <v>157.30000000000001</v>
      </c>
      <c r="T304">
        <v>140.5</v>
      </c>
      <c r="U304">
        <v>154.80000000000001</v>
      </c>
      <c r="V304">
        <v>160.5</v>
      </c>
      <c r="W304">
        <v>156.1</v>
      </c>
      <c r="X304">
        <v>149.80000000000001</v>
      </c>
      <c r="Y304">
        <v>160.80000000000001</v>
      </c>
      <c r="Z304">
        <v>158</v>
      </c>
      <c r="AA304">
        <v>158.1</v>
      </c>
      <c r="AB304">
        <v>150.69999999999999</v>
      </c>
      <c r="AC304">
        <v>147.5</v>
      </c>
      <c r="AD304">
        <v>153.4</v>
      </c>
      <c r="AE304">
        <v>160.4</v>
      </c>
    </row>
    <row r="305" spans="1:31" x14ac:dyDescent="0.3">
      <c r="A305" t="s">
        <v>27</v>
      </c>
      <c r="B305">
        <v>2021</v>
      </c>
      <c r="C305" t="s">
        <v>36</v>
      </c>
      <c r="D305">
        <f t="shared" si="6"/>
        <v>7</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s="2">
        <f>'Missing values'!V223</f>
        <v>161.5</v>
      </c>
      <c r="W305">
        <v>162.5</v>
      </c>
      <c r="X305">
        <v>160.30000000000001</v>
      </c>
      <c r="Y305">
        <v>170.4</v>
      </c>
      <c r="Z305">
        <v>160.4</v>
      </c>
      <c r="AA305">
        <v>167.2</v>
      </c>
      <c r="AB305">
        <v>160.69999999999999</v>
      </c>
      <c r="AC305">
        <v>157.1</v>
      </c>
      <c r="AD305">
        <v>162.80000000000001</v>
      </c>
      <c r="AE305">
        <v>163.19999999999999</v>
      </c>
    </row>
    <row r="306" spans="1:31" x14ac:dyDescent="0.3">
      <c r="A306" t="s">
        <v>30</v>
      </c>
      <c r="B306">
        <v>2021</v>
      </c>
      <c r="C306" t="s">
        <v>36</v>
      </c>
      <c r="D306">
        <f t="shared" si="6"/>
        <v>7</v>
      </c>
      <c r="E306">
        <v>146.4</v>
      </c>
      <c r="F306">
        <v>206.8</v>
      </c>
      <c r="G306">
        <v>182.2</v>
      </c>
      <c r="H306">
        <v>157.5</v>
      </c>
      <c r="I306">
        <v>182.1</v>
      </c>
      <c r="J306">
        <v>163.9</v>
      </c>
      <c r="K306">
        <v>164.2</v>
      </c>
      <c r="L306">
        <v>164</v>
      </c>
      <c r="M306">
        <v>114.5</v>
      </c>
      <c r="N306">
        <v>168.3</v>
      </c>
      <c r="O306">
        <v>160.9</v>
      </c>
      <c r="P306">
        <v>172.2</v>
      </c>
      <c r="Q306">
        <v>164</v>
      </c>
      <c r="R306">
        <v>191.2</v>
      </c>
      <c r="S306">
        <v>162.80000000000001</v>
      </c>
      <c r="T306">
        <v>153.1</v>
      </c>
      <c r="U306">
        <v>161.4</v>
      </c>
      <c r="V306">
        <v>161.5</v>
      </c>
      <c r="W306">
        <v>160.69999999999999</v>
      </c>
      <c r="X306">
        <v>155.80000000000001</v>
      </c>
      <c r="Y306">
        <v>167</v>
      </c>
      <c r="Z306">
        <v>160.1</v>
      </c>
      <c r="AA306">
        <v>163.19999999999999</v>
      </c>
      <c r="AB306">
        <v>155.30000000000001</v>
      </c>
      <c r="AC306">
        <v>153.1</v>
      </c>
      <c r="AD306">
        <v>159</v>
      </c>
      <c r="AE306">
        <v>162.5</v>
      </c>
    </row>
    <row r="307" spans="1:31" x14ac:dyDescent="0.3">
      <c r="A307" t="s">
        <v>29</v>
      </c>
      <c r="B307">
        <v>2021</v>
      </c>
      <c r="C307" t="s">
        <v>36</v>
      </c>
      <c r="D307">
        <f t="shared" si="6"/>
        <v>7</v>
      </c>
      <c r="E307">
        <v>149.1</v>
      </c>
      <c r="F307">
        <v>210.9</v>
      </c>
      <c r="G307">
        <v>185</v>
      </c>
      <c r="H307">
        <v>158.19999999999999</v>
      </c>
      <c r="I307">
        <v>170.6</v>
      </c>
      <c r="J307">
        <v>170.9</v>
      </c>
      <c r="K307">
        <v>186.4</v>
      </c>
      <c r="L307">
        <v>164.7</v>
      </c>
      <c r="M307">
        <v>115.7</v>
      </c>
      <c r="N307">
        <v>165.5</v>
      </c>
      <c r="O307">
        <v>153.4</v>
      </c>
      <c r="P307">
        <v>173.5</v>
      </c>
      <c r="Q307">
        <v>167.9</v>
      </c>
      <c r="R307">
        <v>195.5</v>
      </c>
      <c r="S307">
        <v>157.9</v>
      </c>
      <c r="T307">
        <v>141.9</v>
      </c>
      <c r="U307">
        <v>155.5</v>
      </c>
      <c r="V307">
        <v>161.5</v>
      </c>
      <c r="W307">
        <v>157.69999999999999</v>
      </c>
      <c r="X307">
        <v>150.69999999999999</v>
      </c>
      <c r="Y307">
        <v>161.5</v>
      </c>
      <c r="Z307">
        <v>159.6</v>
      </c>
      <c r="AA307">
        <v>160.30000000000001</v>
      </c>
      <c r="AB307">
        <v>151.19999999999999</v>
      </c>
      <c r="AC307">
        <v>149.5</v>
      </c>
      <c r="AD307">
        <v>155</v>
      </c>
      <c r="AE307">
        <v>161.80000000000001</v>
      </c>
    </row>
    <row r="308" spans="1:31" x14ac:dyDescent="0.3">
      <c r="A308" t="s">
        <v>27</v>
      </c>
      <c r="B308">
        <v>2021</v>
      </c>
      <c r="C308" t="s">
        <v>37</v>
      </c>
      <c r="D308">
        <f t="shared" si="6"/>
        <v>8</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s="2">
        <f>'Missing values'!V253</f>
        <v>162.1</v>
      </c>
      <c r="W308">
        <v>163.1</v>
      </c>
      <c r="X308">
        <v>160.9</v>
      </c>
      <c r="Y308">
        <v>171.1</v>
      </c>
      <c r="Z308">
        <v>160.30000000000001</v>
      </c>
      <c r="AA308">
        <v>167.5</v>
      </c>
      <c r="AB308">
        <v>161.1</v>
      </c>
      <c r="AC308">
        <v>157.69999999999999</v>
      </c>
      <c r="AD308">
        <v>163.30000000000001</v>
      </c>
      <c r="AE308">
        <v>163.6</v>
      </c>
    </row>
    <row r="309" spans="1:31" x14ac:dyDescent="0.3">
      <c r="A309" t="s">
        <v>30</v>
      </c>
      <c r="B309">
        <v>2021</v>
      </c>
      <c r="C309" t="s">
        <v>37</v>
      </c>
      <c r="D309">
        <f t="shared" si="6"/>
        <v>8</v>
      </c>
      <c r="E309">
        <v>146.6</v>
      </c>
      <c r="F309">
        <v>204</v>
      </c>
      <c r="G309">
        <v>172.8</v>
      </c>
      <c r="H309">
        <v>158.4</v>
      </c>
      <c r="I309">
        <v>188</v>
      </c>
      <c r="J309">
        <v>156.80000000000001</v>
      </c>
      <c r="K309">
        <v>162.19999999999999</v>
      </c>
      <c r="L309">
        <v>164.1</v>
      </c>
      <c r="M309">
        <v>119.7</v>
      </c>
      <c r="N309">
        <v>168.8</v>
      </c>
      <c r="O309">
        <v>162.69999999999999</v>
      </c>
      <c r="P309">
        <v>173.9</v>
      </c>
      <c r="Q309">
        <v>164</v>
      </c>
      <c r="R309">
        <v>192.1</v>
      </c>
      <c r="S309">
        <v>164.5</v>
      </c>
      <c r="T309">
        <v>155.30000000000001</v>
      </c>
      <c r="U309">
        <v>163.19999999999999</v>
      </c>
      <c r="V309">
        <v>162.1</v>
      </c>
      <c r="W309">
        <v>162.6</v>
      </c>
      <c r="X309">
        <v>157.5</v>
      </c>
      <c r="Y309">
        <v>168.4</v>
      </c>
      <c r="Z309">
        <v>160</v>
      </c>
      <c r="AA309">
        <v>163.80000000000001</v>
      </c>
      <c r="AB309">
        <v>157.6</v>
      </c>
      <c r="AC309">
        <v>154</v>
      </c>
      <c r="AD309">
        <v>160</v>
      </c>
      <c r="AE309">
        <v>163.19999999999999</v>
      </c>
    </row>
    <row r="310" spans="1:31" x14ac:dyDescent="0.3">
      <c r="A310" t="s">
        <v>29</v>
      </c>
      <c r="B310">
        <v>2021</v>
      </c>
      <c r="C310" t="s">
        <v>37</v>
      </c>
      <c r="D310">
        <f t="shared" si="6"/>
        <v>8</v>
      </c>
      <c r="E310">
        <v>149.30000000000001</v>
      </c>
      <c r="F310">
        <v>207.4</v>
      </c>
      <c r="G310">
        <v>174.1</v>
      </c>
      <c r="H310">
        <v>159.19999999999999</v>
      </c>
      <c r="I310">
        <v>175</v>
      </c>
      <c r="J310">
        <v>161.30000000000001</v>
      </c>
      <c r="K310">
        <v>183.3</v>
      </c>
      <c r="L310">
        <v>164.5</v>
      </c>
      <c r="M310">
        <v>120.4</v>
      </c>
      <c r="N310">
        <v>166.2</v>
      </c>
      <c r="O310">
        <v>154.80000000000001</v>
      </c>
      <c r="P310">
        <v>175.1</v>
      </c>
      <c r="Q310">
        <v>167.3</v>
      </c>
      <c r="R310">
        <v>196.5</v>
      </c>
      <c r="S310">
        <v>159.80000000000001</v>
      </c>
      <c r="T310">
        <v>143.6</v>
      </c>
      <c r="U310">
        <v>157.30000000000001</v>
      </c>
      <c r="V310">
        <v>162.1</v>
      </c>
      <c r="W310">
        <v>160.69999999999999</v>
      </c>
      <c r="X310">
        <v>153.19999999999999</v>
      </c>
      <c r="Y310">
        <v>162.80000000000001</v>
      </c>
      <c r="Z310">
        <v>159.6</v>
      </c>
      <c r="AA310">
        <v>160.4</v>
      </c>
      <c r="AB310">
        <v>153.69999999999999</v>
      </c>
      <c r="AC310">
        <v>150.4</v>
      </c>
      <c r="AD310">
        <v>156</v>
      </c>
      <c r="AE310">
        <v>162.30000000000001</v>
      </c>
    </row>
    <row r="311" spans="1:31" x14ac:dyDescent="0.3">
      <c r="A311" t="s">
        <v>27</v>
      </c>
      <c r="B311">
        <v>2021</v>
      </c>
      <c r="C311" t="s">
        <v>38</v>
      </c>
      <c r="D311">
        <f t="shared" si="6"/>
        <v>9</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s="2">
        <f>'Missing values'!V283</f>
        <v>162.1</v>
      </c>
      <c r="W311">
        <v>163.69999999999999</v>
      </c>
      <c r="X311">
        <v>161.30000000000001</v>
      </c>
      <c r="Y311">
        <v>171.9</v>
      </c>
      <c r="Z311">
        <v>160.19999999999999</v>
      </c>
      <c r="AA311">
        <v>168.5</v>
      </c>
      <c r="AB311">
        <v>162.69999999999999</v>
      </c>
      <c r="AC311">
        <v>157.80000000000001</v>
      </c>
      <c r="AD311">
        <v>163.80000000000001</v>
      </c>
      <c r="AE311">
        <v>164</v>
      </c>
    </row>
    <row r="312" spans="1:31" x14ac:dyDescent="0.3">
      <c r="A312" t="s">
        <v>30</v>
      </c>
      <c r="B312">
        <v>2021</v>
      </c>
      <c r="C312" t="s">
        <v>38</v>
      </c>
      <c r="D312">
        <f t="shared" si="6"/>
        <v>9</v>
      </c>
      <c r="E312">
        <v>146.6</v>
      </c>
      <c r="F312">
        <v>204</v>
      </c>
      <c r="G312">
        <v>172.8</v>
      </c>
      <c r="H312">
        <v>158.4</v>
      </c>
      <c r="I312">
        <v>188</v>
      </c>
      <c r="J312">
        <v>156.69999999999999</v>
      </c>
      <c r="K312">
        <v>162.30000000000001</v>
      </c>
      <c r="L312">
        <v>164.1</v>
      </c>
      <c r="M312">
        <v>119.7</v>
      </c>
      <c r="N312">
        <v>168.8</v>
      </c>
      <c r="O312">
        <v>162.69999999999999</v>
      </c>
      <c r="P312">
        <v>173.9</v>
      </c>
      <c r="Q312">
        <v>164</v>
      </c>
      <c r="R312">
        <v>192.1</v>
      </c>
      <c r="S312">
        <v>164.6</v>
      </c>
      <c r="T312">
        <v>155.30000000000001</v>
      </c>
      <c r="U312">
        <v>163.30000000000001</v>
      </c>
      <c r="V312">
        <v>162.1</v>
      </c>
      <c r="W312">
        <v>162.6</v>
      </c>
      <c r="X312">
        <v>157.5</v>
      </c>
      <c r="Y312">
        <v>168.4</v>
      </c>
      <c r="Z312">
        <v>160</v>
      </c>
      <c r="AA312">
        <v>163.69999999999999</v>
      </c>
      <c r="AB312">
        <v>157.69999999999999</v>
      </c>
      <c r="AC312">
        <v>154</v>
      </c>
      <c r="AD312">
        <v>160</v>
      </c>
      <c r="AE312">
        <v>163.19999999999999</v>
      </c>
    </row>
    <row r="313" spans="1:31" x14ac:dyDescent="0.3">
      <c r="A313" t="s">
        <v>29</v>
      </c>
      <c r="B313">
        <v>2021</v>
      </c>
      <c r="C313" t="s">
        <v>38</v>
      </c>
      <c r="D313">
        <f t="shared" si="6"/>
        <v>9</v>
      </c>
      <c r="E313">
        <v>149.30000000000001</v>
      </c>
      <c r="F313">
        <v>207.4</v>
      </c>
      <c r="G313">
        <v>174.1</v>
      </c>
      <c r="H313">
        <v>159.1</v>
      </c>
      <c r="I313">
        <v>175</v>
      </c>
      <c r="J313">
        <v>161.19999999999999</v>
      </c>
      <c r="K313">
        <v>183.5</v>
      </c>
      <c r="L313">
        <v>164.5</v>
      </c>
      <c r="M313">
        <v>120.4</v>
      </c>
      <c r="N313">
        <v>166.2</v>
      </c>
      <c r="O313">
        <v>154.80000000000001</v>
      </c>
      <c r="P313">
        <v>175.1</v>
      </c>
      <c r="Q313">
        <v>167.3</v>
      </c>
      <c r="R313">
        <v>196.5</v>
      </c>
      <c r="S313">
        <v>159.80000000000001</v>
      </c>
      <c r="T313">
        <v>143.6</v>
      </c>
      <c r="U313">
        <v>157.4</v>
      </c>
      <c r="V313">
        <v>162.1</v>
      </c>
      <c r="W313">
        <v>160.80000000000001</v>
      </c>
      <c r="X313">
        <v>153.30000000000001</v>
      </c>
      <c r="Y313">
        <v>162.80000000000001</v>
      </c>
      <c r="Z313">
        <v>159.6</v>
      </c>
      <c r="AA313">
        <v>160.30000000000001</v>
      </c>
      <c r="AB313">
        <v>153.9</v>
      </c>
      <c r="AC313">
        <v>150.5</v>
      </c>
      <c r="AD313">
        <v>156</v>
      </c>
      <c r="AE313">
        <v>162.30000000000001</v>
      </c>
    </row>
    <row r="314" spans="1:31" x14ac:dyDescent="0.3">
      <c r="A314" t="s">
        <v>27</v>
      </c>
      <c r="B314">
        <v>2021</v>
      </c>
      <c r="C314" t="s">
        <v>39</v>
      </c>
      <c r="D314">
        <f t="shared" si="6"/>
        <v>10</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s="2">
        <f>'Missing values'!V313</f>
        <v>163.6</v>
      </c>
      <c r="W314">
        <v>165.5</v>
      </c>
      <c r="X314">
        <v>162</v>
      </c>
      <c r="Y314">
        <v>172.5</v>
      </c>
      <c r="Z314">
        <v>161.1</v>
      </c>
      <c r="AA314">
        <v>169</v>
      </c>
      <c r="AB314">
        <v>163.19999999999999</v>
      </c>
      <c r="AC314">
        <v>159.5</v>
      </c>
      <c r="AD314">
        <v>164.7</v>
      </c>
      <c r="AE314">
        <v>166.3</v>
      </c>
    </row>
    <row r="315" spans="1:31" x14ac:dyDescent="0.3">
      <c r="A315" t="s">
        <v>30</v>
      </c>
      <c r="B315">
        <v>2021</v>
      </c>
      <c r="C315" t="s">
        <v>39</v>
      </c>
      <c r="D315">
        <f t="shared" si="6"/>
        <v>10</v>
      </c>
      <c r="E315">
        <v>147.4</v>
      </c>
      <c r="F315">
        <v>204.6</v>
      </c>
      <c r="G315">
        <v>171.2</v>
      </c>
      <c r="H315">
        <v>158.69999999999999</v>
      </c>
      <c r="I315">
        <v>190.6</v>
      </c>
      <c r="J315">
        <v>155.69999999999999</v>
      </c>
      <c r="K315">
        <v>185.3</v>
      </c>
      <c r="L315">
        <v>165.2</v>
      </c>
      <c r="M315">
        <v>121.9</v>
      </c>
      <c r="N315">
        <v>169.3</v>
      </c>
      <c r="O315">
        <v>163.19999999999999</v>
      </c>
      <c r="P315">
        <v>174.7</v>
      </c>
      <c r="Q315">
        <v>167.7</v>
      </c>
      <c r="R315">
        <v>192.7</v>
      </c>
      <c r="S315">
        <v>165.7</v>
      </c>
      <c r="T315">
        <v>156.30000000000001</v>
      </c>
      <c r="U315">
        <v>164.3</v>
      </c>
      <c r="V315">
        <v>163.6</v>
      </c>
      <c r="W315">
        <v>164.2</v>
      </c>
      <c r="X315">
        <v>158.4</v>
      </c>
      <c r="Y315">
        <v>169.1</v>
      </c>
      <c r="Z315">
        <v>160.80000000000001</v>
      </c>
      <c r="AA315">
        <v>163.9</v>
      </c>
      <c r="AB315">
        <v>158.6</v>
      </c>
      <c r="AC315">
        <v>155.69999999999999</v>
      </c>
      <c r="AD315">
        <v>161</v>
      </c>
      <c r="AE315">
        <v>165.5</v>
      </c>
    </row>
    <row r="316" spans="1:31" x14ac:dyDescent="0.3">
      <c r="A316" t="s">
        <v>29</v>
      </c>
      <c r="B316">
        <v>2021</v>
      </c>
      <c r="C316" t="s">
        <v>39</v>
      </c>
      <c r="D316">
        <f t="shared" si="6"/>
        <v>10</v>
      </c>
      <c r="E316">
        <v>150.1</v>
      </c>
      <c r="F316">
        <v>208.4</v>
      </c>
      <c r="G316">
        <v>173</v>
      </c>
      <c r="H316">
        <v>159.19999999999999</v>
      </c>
      <c r="I316">
        <v>176.6</v>
      </c>
      <c r="J316">
        <v>159.30000000000001</v>
      </c>
      <c r="K316">
        <v>214.4</v>
      </c>
      <c r="L316">
        <v>165.3</v>
      </c>
      <c r="M316">
        <v>122.5</v>
      </c>
      <c r="N316">
        <v>166.8</v>
      </c>
      <c r="O316">
        <v>155.4</v>
      </c>
      <c r="P316">
        <v>175.9</v>
      </c>
      <c r="Q316">
        <v>171.5</v>
      </c>
      <c r="R316">
        <v>197</v>
      </c>
      <c r="S316">
        <v>160.80000000000001</v>
      </c>
      <c r="T316">
        <v>144.4</v>
      </c>
      <c r="U316">
        <v>158.30000000000001</v>
      </c>
      <c r="V316">
        <v>163.6</v>
      </c>
      <c r="W316">
        <v>162.19999999999999</v>
      </c>
      <c r="X316">
        <v>154.30000000000001</v>
      </c>
      <c r="Y316">
        <v>163.5</v>
      </c>
      <c r="Z316">
        <v>160.30000000000001</v>
      </c>
      <c r="AA316">
        <v>160.30000000000001</v>
      </c>
      <c r="AB316">
        <v>155.1</v>
      </c>
      <c r="AC316">
        <v>152.19999999999999</v>
      </c>
      <c r="AD316">
        <v>157</v>
      </c>
      <c r="AE316">
        <v>164.6</v>
      </c>
    </row>
    <row r="317" spans="1:31" x14ac:dyDescent="0.3">
      <c r="A317" t="s">
        <v>27</v>
      </c>
      <c r="B317">
        <v>2021</v>
      </c>
      <c r="C317" t="s">
        <v>41</v>
      </c>
      <c r="D317">
        <f t="shared" si="6"/>
        <v>11</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s="2">
        <f>'Missing values'!V343</f>
        <v>164.2</v>
      </c>
      <c r="W317">
        <v>165.3</v>
      </c>
      <c r="X317">
        <v>162.9</v>
      </c>
      <c r="Y317">
        <v>173.4</v>
      </c>
      <c r="Z317">
        <v>162.4</v>
      </c>
      <c r="AA317">
        <v>169.3</v>
      </c>
      <c r="AB317">
        <v>163.80000000000001</v>
      </c>
      <c r="AC317">
        <v>158.9</v>
      </c>
      <c r="AD317">
        <v>165.2</v>
      </c>
      <c r="AE317">
        <v>167.6</v>
      </c>
    </row>
    <row r="318" spans="1:31" x14ac:dyDescent="0.3">
      <c r="A318" t="s">
        <v>30</v>
      </c>
      <c r="B318">
        <v>2021</v>
      </c>
      <c r="C318" t="s">
        <v>41</v>
      </c>
      <c r="D318">
        <f t="shared" si="6"/>
        <v>11</v>
      </c>
      <c r="E318">
        <v>148.19999999999999</v>
      </c>
      <c r="F318">
        <v>201.6</v>
      </c>
      <c r="G318">
        <v>173</v>
      </c>
      <c r="H318">
        <v>159.30000000000001</v>
      </c>
      <c r="I318">
        <v>190.1</v>
      </c>
      <c r="J318">
        <v>156.5</v>
      </c>
      <c r="K318">
        <v>199.2</v>
      </c>
      <c r="L318">
        <v>165.3</v>
      </c>
      <c r="M318">
        <v>122.4</v>
      </c>
      <c r="N318">
        <v>169.6</v>
      </c>
      <c r="O318">
        <v>163.69999999999999</v>
      </c>
      <c r="P318">
        <v>175.5</v>
      </c>
      <c r="Q318">
        <v>169.7</v>
      </c>
      <c r="R318">
        <v>192.9</v>
      </c>
      <c r="S318">
        <v>167.2</v>
      </c>
      <c r="T318">
        <v>157.4</v>
      </c>
      <c r="U318">
        <v>165.8</v>
      </c>
      <c r="V318">
        <v>164.2</v>
      </c>
      <c r="W318">
        <v>163.9</v>
      </c>
      <c r="X318">
        <v>159.30000000000001</v>
      </c>
      <c r="Y318">
        <v>169.9</v>
      </c>
      <c r="Z318">
        <v>162.19999999999999</v>
      </c>
      <c r="AA318">
        <v>164.3</v>
      </c>
      <c r="AB318">
        <v>159.80000000000001</v>
      </c>
      <c r="AC318">
        <v>154.80000000000001</v>
      </c>
      <c r="AD318">
        <v>161.4</v>
      </c>
      <c r="AE318">
        <v>166.7</v>
      </c>
    </row>
    <row r="319" spans="1:31" x14ac:dyDescent="0.3">
      <c r="A319" t="s">
        <v>29</v>
      </c>
      <c r="B319">
        <v>2021</v>
      </c>
      <c r="C319" t="s">
        <v>41</v>
      </c>
      <c r="D319">
        <f t="shared" si="6"/>
        <v>11</v>
      </c>
      <c r="E319">
        <v>151</v>
      </c>
      <c r="F319">
        <v>204.9</v>
      </c>
      <c r="G319">
        <v>175.4</v>
      </c>
      <c r="H319">
        <v>159.6</v>
      </c>
      <c r="I319">
        <v>175.8</v>
      </c>
      <c r="J319">
        <v>160.30000000000001</v>
      </c>
      <c r="K319">
        <v>229.1</v>
      </c>
      <c r="L319">
        <v>165.1</v>
      </c>
      <c r="M319">
        <v>123.1</v>
      </c>
      <c r="N319">
        <v>167.2</v>
      </c>
      <c r="O319">
        <v>156.1</v>
      </c>
      <c r="P319">
        <v>176.8</v>
      </c>
      <c r="Q319">
        <v>173.5</v>
      </c>
      <c r="R319">
        <v>197</v>
      </c>
      <c r="S319">
        <v>162.30000000000001</v>
      </c>
      <c r="T319">
        <v>145.30000000000001</v>
      </c>
      <c r="U319">
        <v>159.69999999999999</v>
      </c>
      <c r="V319">
        <v>164.2</v>
      </c>
      <c r="W319">
        <v>161.6</v>
      </c>
      <c r="X319">
        <v>155.19999999999999</v>
      </c>
      <c r="Y319">
        <v>164.2</v>
      </c>
      <c r="Z319">
        <v>161.80000000000001</v>
      </c>
      <c r="AA319">
        <v>160.80000000000001</v>
      </c>
      <c r="AB319">
        <v>156.69999999999999</v>
      </c>
      <c r="AC319">
        <v>151.19999999999999</v>
      </c>
      <c r="AD319">
        <v>157.30000000000001</v>
      </c>
      <c r="AE319">
        <v>165.6</v>
      </c>
    </row>
    <row r="320" spans="1:31" x14ac:dyDescent="0.3">
      <c r="A320" t="s">
        <v>27</v>
      </c>
      <c r="B320">
        <v>2021</v>
      </c>
      <c r="C320" t="s">
        <v>42</v>
      </c>
      <c r="D320">
        <f t="shared" si="6"/>
        <v>12</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s="2">
        <f>'Missing values'!V373</f>
        <v>163.4</v>
      </c>
      <c r="W320">
        <v>165.6</v>
      </c>
      <c r="X320">
        <v>163.9</v>
      </c>
      <c r="Y320">
        <v>174</v>
      </c>
      <c r="Z320">
        <v>162.80000000000001</v>
      </c>
      <c r="AA320">
        <v>169.7</v>
      </c>
      <c r="AB320">
        <v>164.5</v>
      </c>
      <c r="AC320">
        <v>160.1</v>
      </c>
      <c r="AD320">
        <v>166</v>
      </c>
      <c r="AE320">
        <v>167</v>
      </c>
    </row>
    <row r="321" spans="1:31" x14ac:dyDescent="0.3">
      <c r="A321" t="s">
        <v>30</v>
      </c>
      <c r="B321">
        <v>2021</v>
      </c>
      <c r="C321" t="s">
        <v>42</v>
      </c>
      <c r="D321">
        <f t="shared" si="6"/>
        <v>12</v>
      </c>
      <c r="E321">
        <v>148.69999999999999</v>
      </c>
      <c r="F321">
        <v>198.8</v>
      </c>
      <c r="G321">
        <v>177.9</v>
      </c>
      <c r="H321">
        <v>159.9</v>
      </c>
      <c r="I321">
        <v>187.6</v>
      </c>
      <c r="J321">
        <v>154.9</v>
      </c>
      <c r="K321">
        <v>188.3</v>
      </c>
      <c r="L321">
        <v>164.4</v>
      </c>
      <c r="M321">
        <v>121</v>
      </c>
      <c r="N321">
        <v>170.5</v>
      </c>
      <c r="O321">
        <v>164.2</v>
      </c>
      <c r="P321">
        <v>176.5</v>
      </c>
      <c r="Q321">
        <v>168.2</v>
      </c>
      <c r="R321">
        <v>192.4</v>
      </c>
      <c r="S321">
        <v>168.5</v>
      </c>
      <c r="T321">
        <v>158.69999999999999</v>
      </c>
      <c r="U321">
        <v>167</v>
      </c>
      <c r="V321">
        <v>163.4</v>
      </c>
      <c r="W321">
        <v>164.1</v>
      </c>
      <c r="X321">
        <v>160.19999999999999</v>
      </c>
      <c r="Y321">
        <v>170.6</v>
      </c>
      <c r="Z321">
        <v>162.6</v>
      </c>
      <c r="AA321">
        <v>164.4</v>
      </c>
      <c r="AB321">
        <v>160.6</v>
      </c>
      <c r="AC321">
        <v>155.69999999999999</v>
      </c>
      <c r="AD321">
        <v>162</v>
      </c>
      <c r="AE321">
        <v>166.2</v>
      </c>
    </row>
    <row r="322" spans="1:31" x14ac:dyDescent="0.3">
      <c r="A322" t="s">
        <v>29</v>
      </c>
      <c r="B322">
        <v>2021</v>
      </c>
      <c r="C322" t="s">
        <v>42</v>
      </c>
      <c r="D322">
        <f t="shared" si="6"/>
        <v>12</v>
      </c>
      <c r="E322">
        <v>151.6</v>
      </c>
      <c r="F322">
        <v>202.2</v>
      </c>
      <c r="G322">
        <v>180</v>
      </c>
      <c r="H322">
        <v>160</v>
      </c>
      <c r="I322">
        <v>173.5</v>
      </c>
      <c r="J322">
        <v>158.30000000000001</v>
      </c>
      <c r="K322">
        <v>219.5</v>
      </c>
      <c r="L322">
        <v>164.2</v>
      </c>
      <c r="M322">
        <v>121.9</v>
      </c>
      <c r="N322">
        <v>168.2</v>
      </c>
      <c r="O322">
        <v>156.5</v>
      </c>
      <c r="P322">
        <v>178.2</v>
      </c>
      <c r="Q322">
        <v>172.2</v>
      </c>
      <c r="R322">
        <v>196.8</v>
      </c>
      <c r="S322">
        <v>163.30000000000001</v>
      </c>
      <c r="T322">
        <v>146.69999999999999</v>
      </c>
      <c r="U322">
        <v>160.69999999999999</v>
      </c>
      <c r="V322">
        <v>163.4</v>
      </c>
      <c r="W322">
        <v>161.69999999999999</v>
      </c>
      <c r="X322">
        <v>156</v>
      </c>
      <c r="Y322">
        <v>165.1</v>
      </c>
      <c r="Z322">
        <v>162.4</v>
      </c>
      <c r="AA322">
        <v>160.6</v>
      </c>
      <c r="AB322">
        <v>157.6</v>
      </c>
      <c r="AC322">
        <v>151.80000000000001</v>
      </c>
      <c r="AD322">
        <v>157.80000000000001</v>
      </c>
      <c r="AE322">
        <v>165.2</v>
      </c>
    </row>
    <row r="323" spans="1:31" x14ac:dyDescent="0.3">
      <c r="A323" t="s">
        <v>27</v>
      </c>
      <c r="B323">
        <v>2022</v>
      </c>
      <c r="C323" t="s">
        <v>28</v>
      </c>
      <c r="D323">
        <f t="shared" si="6"/>
        <v>1</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s="2">
        <f>'Missing values'!V34</f>
        <v>164.5</v>
      </c>
      <c r="W323">
        <v>165.8</v>
      </c>
      <c r="X323">
        <v>164.9</v>
      </c>
      <c r="Y323">
        <v>174.7</v>
      </c>
      <c r="Z323">
        <v>163.19999999999999</v>
      </c>
      <c r="AA323">
        <v>169.9</v>
      </c>
      <c r="AB323">
        <v>164.9</v>
      </c>
      <c r="AC323">
        <v>160.80000000000001</v>
      </c>
      <c r="AD323">
        <v>166.6</v>
      </c>
      <c r="AE323">
        <v>166.4</v>
      </c>
    </row>
    <row r="324" spans="1:31" x14ac:dyDescent="0.3">
      <c r="A324" t="s">
        <v>30</v>
      </c>
      <c r="B324">
        <v>2022</v>
      </c>
      <c r="C324" t="s">
        <v>28</v>
      </c>
      <c r="D324">
        <f t="shared" si="6"/>
        <v>1</v>
      </c>
      <c r="E324">
        <v>149.5</v>
      </c>
      <c r="F324">
        <v>198.7</v>
      </c>
      <c r="G324">
        <v>178.8</v>
      </c>
      <c r="H324">
        <v>160.5</v>
      </c>
      <c r="I324">
        <v>184.7</v>
      </c>
      <c r="J324">
        <v>153.69999999999999</v>
      </c>
      <c r="K324">
        <v>174.3</v>
      </c>
      <c r="L324">
        <v>163.9</v>
      </c>
      <c r="M324">
        <v>120</v>
      </c>
      <c r="N324">
        <v>172.1</v>
      </c>
      <c r="O324">
        <v>164.3</v>
      </c>
      <c r="P324">
        <v>177.3</v>
      </c>
      <c r="Q324">
        <v>166.4</v>
      </c>
      <c r="R324">
        <v>192.2</v>
      </c>
      <c r="S324">
        <v>169.9</v>
      </c>
      <c r="T324">
        <v>160.69999999999999</v>
      </c>
      <c r="U324">
        <v>168.5</v>
      </c>
      <c r="V324">
        <v>164.5</v>
      </c>
      <c r="W324">
        <v>164.2</v>
      </c>
      <c r="X324">
        <v>161.1</v>
      </c>
      <c r="Y324">
        <v>171.4</v>
      </c>
      <c r="Z324">
        <v>163</v>
      </c>
      <c r="AA324">
        <v>164.7</v>
      </c>
      <c r="AB324">
        <v>161.19999999999999</v>
      </c>
      <c r="AC324">
        <v>156.5</v>
      </c>
      <c r="AD324">
        <v>162.69999999999999</v>
      </c>
      <c r="AE324">
        <v>165.7</v>
      </c>
    </row>
    <row r="325" spans="1:31" x14ac:dyDescent="0.3">
      <c r="A325" t="s">
        <v>29</v>
      </c>
      <c r="B325">
        <v>2022</v>
      </c>
      <c r="C325" t="s">
        <v>28</v>
      </c>
      <c r="D325">
        <f t="shared" si="6"/>
        <v>1</v>
      </c>
      <c r="E325">
        <v>152.19999999999999</v>
      </c>
      <c r="F325">
        <v>202.1</v>
      </c>
      <c r="G325">
        <v>180.1</v>
      </c>
      <c r="H325">
        <v>160.4</v>
      </c>
      <c r="I325">
        <v>171</v>
      </c>
      <c r="J325">
        <v>156.5</v>
      </c>
      <c r="K325">
        <v>203.6</v>
      </c>
      <c r="L325">
        <v>163.80000000000001</v>
      </c>
      <c r="M325">
        <v>121.3</v>
      </c>
      <c r="N325">
        <v>169.8</v>
      </c>
      <c r="O325">
        <v>156.6</v>
      </c>
      <c r="P325">
        <v>179</v>
      </c>
      <c r="Q325">
        <v>170.3</v>
      </c>
      <c r="R325">
        <v>196.4</v>
      </c>
      <c r="S325">
        <v>164.7</v>
      </c>
      <c r="T325">
        <v>148.5</v>
      </c>
      <c r="U325">
        <v>162.19999999999999</v>
      </c>
      <c r="V325">
        <v>164.5</v>
      </c>
      <c r="W325">
        <v>161.6</v>
      </c>
      <c r="X325">
        <v>156.80000000000001</v>
      </c>
      <c r="Y325">
        <v>166.1</v>
      </c>
      <c r="Z325">
        <v>162.80000000000001</v>
      </c>
      <c r="AA325">
        <v>161</v>
      </c>
      <c r="AB325">
        <v>158.4</v>
      </c>
      <c r="AC325">
        <v>152.69999999999999</v>
      </c>
      <c r="AD325">
        <v>158.6</v>
      </c>
      <c r="AE325">
        <v>165</v>
      </c>
    </row>
    <row r="326" spans="1:31" x14ac:dyDescent="0.3">
      <c r="A326" t="s">
        <v>27</v>
      </c>
      <c r="B326">
        <v>2022</v>
      </c>
      <c r="C326" t="s">
        <v>31</v>
      </c>
      <c r="D326">
        <f t="shared" si="6"/>
        <v>2</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s="2">
        <f>'Missing values'!V67</f>
        <v>165.5</v>
      </c>
      <c r="W326">
        <v>167.4</v>
      </c>
      <c r="X326">
        <v>165.7</v>
      </c>
      <c r="Y326">
        <v>175.3</v>
      </c>
      <c r="Z326">
        <v>164.5</v>
      </c>
      <c r="AA326">
        <v>170.3</v>
      </c>
      <c r="AB326">
        <v>165.5</v>
      </c>
      <c r="AC326">
        <v>161.19999999999999</v>
      </c>
      <c r="AD326">
        <v>167.3</v>
      </c>
      <c r="AE326">
        <v>166.7</v>
      </c>
    </row>
    <row r="327" spans="1:31" x14ac:dyDescent="0.3">
      <c r="A327" t="s">
        <v>30</v>
      </c>
      <c r="B327">
        <v>2022</v>
      </c>
      <c r="C327" t="s">
        <v>31</v>
      </c>
      <c r="D327">
        <f t="shared" si="6"/>
        <v>2</v>
      </c>
      <c r="E327">
        <v>150</v>
      </c>
      <c r="F327">
        <v>200.6</v>
      </c>
      <c r="G327">
        <v>175.8</v>
      </c>
      <c r="H327">
        <v>160.69999999999999</v>
      </c>
      <c r="I327">
        <v>184.9</v>
      </c>
      <c r="J327">
        <v>153.69999999999999</v>
      </c>
      <c r="K327">
        <v>169.7</v>
      </c>
      <c r="L327">
        <v>163.69999999999999</v>
      </c>
      <c r="M327">
        <v>118.9</v>
      </c>
      <c r="N327">
        <v>174.3</v>
      </c>
      <c r="O327">
        <v>164.7</v>
      </c>
      <c r="P327">
        <v>178</v>
      </c>
      <c r="Q327">
        <v>166.2</v>
      </c>
      <c r="R327">
        <v>192.8</v>
      </c>
      <c r="S327">
        <v>170.8</v>
      </c>
      <c r="T327">
        <v>162.4</v>
      </c>
      <c r="U327">
        <v>169.6</v>
      </c>
      <c r="V327">
        <v>165.5</v>
      </c>
      <c r="W327">
        <v>165.7</v>
      </c>
      <c r="X327">
        <v>161.80000000000001</v>
      </c>
      <c r="Y327">
        <v>172.2</v>
      </c>
      <c r="Z327">
        <v>164.4</v>
      </c>
      <c r="AA327">
        <v>165.4</v>
      </c>
      <c r="AB327">
        <v>162.1</v>
      </c>
      <c r="AC327">
        <v>156.9</v>
      </c>
      <c r="AD327">
        <v>163.5</v>
      </c>
      <c r="AE327">
        <v>166.1</v>
      </c>
    </row>
    <row r="328" spans="1:31" x14ac:dyDescent="0.3">
      <c r="A328" t="s">
        <v>29</v>
      </c>
      <c r="B328">
        <v>2022</v>
      </c>
      <c r="C328" t="s">
        <v>31</v>
      </c>
      <c r="D328">
        <f t="shared" si="6"/>
        <v>2</v>
      </c>
      <c r="E328">
        <v>152.5</v>
      </c>
      <c r="F328">
        <v>205.2</v>
      </c>
      <c r="G328">
        <v>176.4</v>
      </c>
      <c r="H328">
        <v>160.6</v>
      </c>
      <c r="I328">
        <v>171.5</v>
      </c>
      <c r="J328">
        <v>156.4</v>
      </c>
      <c r="K328">
        <v>198</v>
      </c>
      <c r="L328">
        <v>163.19999999999999</v>
      </c>
      <c r="M328">
        <v>120.6</v>
      </c>
      <c r="N328">
        <v>172.2</v>
      </c>
      <c r="O328">
        <v>156.69999999999999</v>
      </c>
      <c r="P328">
        <v>180</v>
      </c>
      <c r="Q328">
        <v>170.2</v>
      </c>
      <c r="R328">
        <v>196.5</v>
      </c>
      <c r="S328">
        <v>165.7</v>
      </c>
      <c r="T328">
        <v>150.4</v>
      </c>
      <c r="U328">
        <v>163.4</v>
      </c>
      <c r="V328">
        <v>165.5</v>
      </c>
      <c r="W328">
        <v>163</v>
      </c>
      <c r="X328">
        <v>157.4</v>
      </c>
      <c r="Y328">
        <v>167.2</v>
      </c>
      <c r="Z328">
        <v>164.2</v>
      </c>
      <c r="AA328">
        <v>162</v>
      </c>
      <c r="AB328">
        <v>159.5</v>
      </c>
      <c r="AC328">
        <v>153.1</v>
      </c>
      <c r="AD328">
        <v>159.4</v>
      </c>
      <c r="AE328">
        <v>165.5</v>
      </c>
    </row>
    <row r="329" spans="1:31" x14ac:dyDescent="0.3">
      <c r="A329" t="s">
        <v>27</v>
      </c>
      <c r="B329">
        <v>2022</v>
      </c>
      <c r="C329" t="s">
        <v>32</v>
      </c>
      <c r="D329">
        <f t="shared" si="6"/>
        <v>3</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s="2">
        <f>'Missing values'!V100</f>
        <v>165.3</v>
      </c>
      <c r="W329">
        <v>168.9</v>
      </c>
      <c r="X329">
        <v>166.5</v>
      </c>
      <c r="Y329">
        <v>176</v>
      </c>
      <c r="Z329">
        <v>167.4</v>
      </c>
      <c r="AA329">
        <v>170.6</v>
      </c>
      <c r="AB329">
        <v>166.6</v>
      </c>
      <c r="AC329">
        <v>162</v>
      </c>
      <c r="AD329">
        <v>168.3</v>
      </c>
      <c r="AE329">
        <v>168.7</v>
      </c>
    </row>
    <row r="330" spans="1:31" x14ac:dyDescent="0.3">
      <c r="A330" t="s">
        <v>30</v>
      </c>
      <c r="B330">
        <v>2022</v>
      </c>
      <c r="C330" t="s">
        <v>32</v>
      </c>
      <c r="D330">
        <f t="shared" si="6"/>
        <v>3</v>
      </c>
      <c r="E330">
        <v>151.30000000000001</v>
      </c>
      <c r="F330">
        <v>210.7</v>
      </c>
      <c r="G330">
        <v>167.8</v>
      </c>
      <c r="H330">
        <v>162.19999999999999</v>
      </c>
      <c r="I330">
        <v>194.6</v>
      </c>
      <c r="J330">
        <v>157.6</v>
      </c>
      <c r="K330">
        <v>166.9</v>
      </c>
      <c r="L330">
        <v>163.9</v>
      </c>
      <c r="M330">
        <v>118.8</v>
      </c>
      <c r="N330">
        <v>177.4</v>
      </c>
      <c r="O330">
        <v>165.3</v>
      </c>
      <c r="P330">
        <v>179.3</v>
      </c>
      <c r="Q330">
        <v>168.4</v>
      </c>
      <c r="R330">
        <v>193.7</v>
      </c>
      <c r="S330">
        <v>172.1</v>
      </c>
      <c r="T330">
        <v>164.6</v>
      </c>
      <c r="U330">
        <v>171.1</v>
      </c>
      <c r="V330">
        <v>165.3</v>
      </c>
      <c r="W330">
        <v>167.2</v>
      </c>
      <c r="X330">
        <v>162.80000000000001</v>
      </c>
      <c r="Y330">
        <v>173</v>
      </c>
      <c r="Z330">
        <v>167.2</v>
      </c>
      <c r="AA330">
        <v>166</v>
      </c>
      <c r="AB330">
        <v>163.30000000000001</v>
      </c>
      <c r="AC330">
        <v>157.9</v>
      </c>
      <c r="AD330">
        <v>164.6</v>
      </c>
      <c r="AE330">
        <v>167.7</v>
      </c>
    </row>
    <row r="331" spans="1:31" x14ac:dyDescent="0.3">
      <c r="A331" t="s">
        <v>29</v>
      </c>
      <c r="B331">
        <v>2022</v>
      </c>
      <c r="C331" t="s">
        <v>32</v>
      </c>
      <c r="D331">
        <f t="shared" si="6"/>
        <v>3</v>
      </c>
      <c r="E331">
        <v>153.69999999999999</v>
      </c>
      <c r="F331">
        <v>215.8</v>
      </c>
      <c r="G331">
        <v>167.7</v>
      </c>
      <c r="H331">
        <v>162.6</v>
      </c>
      <c r="I331">
        <v>180</v>
      </c>
      <c r="J331">
        <v>159.6</v>
      </c>
      <c r="K331">
        <v>188.4</v>
      </c>
      <c r="L331">
        <v>163.4</v>
      </c>
      <c r="M331">
        <v>120.3</v>
      </c>
      <c r="N331">
        <v>174.7</v>
      </c>
      <c r="O331">
        <v>157.1</v>
      </c>
      <c r="P331">
        <v>181.5</v>
      </c>
      <c r="Q331">
        <v>171.5</v>
      </c>
      <c r="R331">
        <v>197.5</v>
      </c>
      <c r="S331">
        <v>167.1</v>
      </c>
      <c r="T331">
        <v>152.6</v>
      </c>
      <c r="U331">
        <v>164.9</v>
      </c>
      <c r="V331">
        <v>165.3</v>
      </c>
      <c r="W331">
        <v>164.5</v>
      </c>
      <c r="X331">
        <v>158.6</v>
      </c>
      <c r="Y331">
        <v>168.2</v>
      </c>
      <c r="Z331">
        <v>166.8</v>
      </c>
      <c r="AA331">
        <v>162.69999999999999</v>
      </c>
      <c r="AB331">
        <v>160.80000000000001</v>
      </c>
      <c r="AC331">
        <v>154.19999999999999</v>
      </c>
      <c r="AD331">
        <v>160.6</v>
      </c>
      <c r="AE331">
        <v>166.5</v>
      </c>
    </row>
    <row r="332" spans="1:31" x14ac:dyDescent="0.3">
      <c r="A332" t="s">
        <v>27</v>
      </c>
      <c r="B332">
        <v>2022</v>
      </c>
      <c r="C332" t="s">
        <v>33</v>
      </c>
      <c r="D332">
        <f t="shared" si="6"/>
        <v>4</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s="2">
        <f>'Missing values'!V130</f>
        <v>167</v>
      </c>
      <c r="W332">
        <v>173.3</v>
      </c>
      <c r="X332">
        <v>167.7</v>
      </c>
      <c r="Y332">
        <v>177</v>
      </c>
      <c r="Z332">
        <v>169</v>
      </c>
      <c r="AA332">
        <v>170.9</v>
      </c>
      <c r="AB332">
        <v>167.2</v>
      </c>
      <c r="AC332">
        <v>166.2</v>
      </c>
      <c r="AD332">
        <v>170.2</v>
      </c>
      <c r="AE332">
        <v>170.8</v>
      </c>
    </row>
    <row r="333" spans="1:31" x14ac:dyDescent="0.3">
      <c r="A333" t="s">
        <v>30</v>
      </c>
      <c r="B333">
        <v>2022</v>
      </c>
      <c r="C333" t="s">
        <v>33</v>
      </c>
      <c r="D333">
        <f t="shared" si="6"/>
        <v>4</v>
      </c>
      <c r="E333">
        <v>152.9</v>
      </c>
      <c r="F333">
        <v>211.8</v>
      </c>
      <c r="G333">
        <v>164.5</v>
      </c>
      <c r="H333">
        <v>163.9</v>
      </c>
      <c r="I333">
        <v>199.5</v>
      </c>
      <c r="J333">
        <v>172.6</v>
      </c>
      <c r="K333">
        <v>166.2</v>
      </c>
      <c r="L333">
        <v>164.7</v>
      </c>
      <c r="M333">
        <v>119</v>
      </c>
      <c r="N333">
        <v>181.3</v>
      </c>
      <c r="O333">
        <v>166.2</v>
      </c>
      <c r="P333">
        <v>180.9</v>
      </c>
      <c r="Q333">
        <v>170.8</v>
      </c>
      <c r="R333">
        <v>193.9</v>
      </c>
      <c r="S333">
        <v>173.9</v>
      </c>
      <c r="T333">
        <v>166.5</v>
      </c>
      <c r="U333">
        <v>172.8</v>
      </c>
      <c r="V333">
        <v>167</v>
      </c>
      <c r="W333">
        <v>172.2</v>
      </c>
      <c r="X333">
        <v>164</v>
      </c>
      <c r="Y333">
        <v>174</v>
      </c>
      <c r="Z333">
        <v>168.8</v>
      </c>
      <c r="AA333">
        <v>166.9</v>
      </c>
      <c r="AB333">
        <v>164.4</v>
      </c>
      <c r="AC333">
        <v>162.6</v>
      </c>
      <c r="AD333">
        <v>166.8</v>
      </c>
      <c r="AE333">
        <v>170.1</v>
      </c>
    </row>
    <row r="334" spans="1:31" x14ac:dyDescent="0.3">
      <c r="A334" t="s">
        <v>29</v>
      </c>
      <c r="B334">
        <v>2022</v>
      </c>
      <c r="C334" t="s">
        <v>33</v>
      </c>
      <c r="D334">
        <f t="shared" si="6"/>
        <v>4</v>
      </c>
      <c r="E334">
        <v>155.4</v>
      </c>
      <c r="F334">
        <v>215.8</v>
      </c>
      <c r="G334">
        <v>164.6</v>
      </c>
      <c r="H334">
        <v>164.2</v>
      </c>
      <c r="I334">
        <v>186</v>
      </c>
      <c r="J334">
        <v>175.9</v>
      </c>
      <c r="K334">
        <v>190.7</v>
      </c>
      <c r="L334">
        <v>164</v>
      </c>
      <c r="M334">
        <v>120.5</v>
      </c>
      <c r="N334">
        <v>178</v>
      </c>
      <c r="O334">
        <v>157.5</v>
      </c>
      <c r="P334">
        <v>183.3</v>
      </c>
      <c r="Q334">
        <v>174.5</v>
      </c>
      <c r="R334">
        <v>197.1</v>
      </c>
      <c r="S334">
        <v>168.4</v>
      </c>
      <c r="T334">
        <v>154.5</v>
      </c>
      <c r="U334">
        <v>166.3</v>
      </c>
      <c r="V334">
        <v>167</v>
      </c>
      <c r="W334">
        <v>170.5</v>
      </c>
      <c r="X334">
        <v>159.80000000000001</v>
      </c>
      <c r="Y334">
        <v>169</v>
      </c>
      <c r="Z334">
        <v>168.4</v>
      </c>
      <c r="AA334">
        <v>164</v>
      </c>
      <c r="AB334">
        <v>162.19999999999999</v>
      </c>
      <c r="AC334">
        <v>159.30000000000001</v>
      </c>
      <c r="AD334">
        <v>163.1</v>
      </c>
      <c r="AE334">
        <v>169.2</v>
      </c>
    </row>
    <row r="335" spans="1:31" x14ac:dyDescent="0.3">
      <c r="A335" t="s">
        <v>27</v>
      </c>
      <c r="B335">
        <v>2022</v>
      </c>
      <c r="C335" t="s">
        <v>34</v>
      </c>
      <c r="D335">
        <f t="shared" si="6"/>
        <v>5</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s="2">
        <f>'Missing values'!V163</f>
        <v>167.5</v>
      </c>
      <c r="W335">
        <v>175.3</v>
      </c>
      <c r="X335">
        <v>168.9</v>
      </c>
      <c r="Y335">
        <v>177.7</v>
      </c>
      <c r="Z335">
        <v>168.5</v>
      </c>
      <c r="AA335">
        <v>171.8</v>
      </c>
      <c r="AB335">
        <v>167.6</v>
      </c>
      <c r="AC335">
        <v>167.1</v>
      </c>
      <c r="AD335">
        <v>170.9</v>
      </c>
      <c r="AE335">
        <v>172.5</v>
      </c>
    </row>
    <row r="336" spans="1:31" x14ac:dyDescent="0.3">
      <c r="A336" t="s">
        <v>30</v>
      </c>
      <c r="B336">
        <v>2022</v>
      </c>
      <c r="C336" t="s">
        <v>34</v>
      </c>
      <c r="D336">
        <f t="shared" si="6"/>
        <v>5</v>
      </c>
      <c r="E336">
        <v>154.1</v>
      </c>
      <c r="F336">
        <v>217</v>
      </c>
      <c r="G336">
        <v>162.4</v>
      </c>
      <c r="H336">
        <v>164.9</v>
      </c>
      <c r="I336">
        <v>202.4</v>
      </c>
      <c r="J336">
        <v>171</v>
      </c>
      <c r="K336">
        <v>174.9</v>
      </c>
      <c r="L336">
        <v>164.7</v>
      </c>
      <c r="M336">
        <v>119.7</v>
      </c>
      <c r="N336">
        <v>184.9</v>
      </c>
      <c r="O336">
        <v>167.1</v>
      </c>
      <c r="P336">
        <v>182.5</v>
      </c>
      <c r="Q336">
        <v>173.3</v>
      </c>
      <c r="R336">
        <v>194.1</v>
      </c>
      <c r="S336">
        <v>175.6</v>
      </c>
      <c r="T336">
        <v>168.4</v>
      </c>
      <c r="U336">
        <v>174.6</v>
      </c>
      <c r="V336">
        <v>167.5</v>
      </c>
      <c r="W336">
        <v>174.6</v>
      </c>
      <c r="X336">
        <v>165.2</v>
      </c>
      <c r="Y336">
        <v>174.8</v>
      </c>
      <c r="Z336">
        <v>168.4</v>
      </c>
      <c r="AA336">
        <v>167.9</v>
      </c>
      <c r="AB336">
        <v>165.1</v>
      </c>
      <c r="AC336">
        <v>163</v>
      </c>
      <c r="AD336">
        <v>167.5</v>
      </c>
      <c r="AE336">
        <v>171.7</v>
      </c>
    </row>
    <row r="337" spans="1:31" x14ac:dyDescent="0.3">
      <c r="A337" t="s">
        <v>29</v>
      </c>
      <c r="B337">
        <v>2022</v>
      </c>
      <c r="C337" t="s">
        <v>34</v>
      </c>
      <c r="D337">
        <f t="shared" si="6"/>
        <v>5</v>
      </c>
      <c r="E337">
        <v>156.69999999999999</v>
      </c>
      <c r="F337">
        <v>221.2</v>
      </c>
      <c r="G337">
        <v>164.1</v>
      </c>
      <c r="H337">
        <v>165.4</v>
      </c>
      <c r="I337">
        <v>189.5</v>
      </c>
      <c r="J337">
        <v>174.5</v>
      </c>
      <c r="K337">
        <v>203.2</v>
      </c>
      <c r="L337">
        <v>164.1</v>
      </c>
      <c r="M337">
        <v>121.2</v>
      </c>
      <c r="N337">
        <v>181.4</v>
      </c>
      <c r="O337">
        <v>158.5</v>
      </c>
      <c r="P337">
        <v>184.9</v>
      </c>
      <c r="Q337">
        <v>177.5</v>
      </c>
      <c r="R337">
        <v>197.5</v>
      </c>
      <c r="S337">
        <v>170</v>
      </c>
      <c r="T337">
        <v>155.9</v>
      </c>
      <c r="U337">
        <v>167.8</v>
      </c>
      <c r="V337">
        <v>167.5</v>
      </c>
      <c r="W337">
        <v>173.5</v>
      </c>
      <c r="X337">
        <v>161.1</v>
      </c>
      <c r="Y337">
        <v>170.1</v>
      </c>
      <c r="Z337">
        <v>168.2</v>
      </c>
      <c r="AA337">
        <v>165.2</v>
      </c>
      <c r="AB337">
        <v>163.19999999999999</v>
      </c>
      <c r="AC337">
        <v>159.4</v>
      </c>
      <c r="AD337">
        <v>163.80000000000001</v>
      </c>
      <c r="AE337">
        <v>170.8</v>
      </c>
    </row>
    <row r="338" spans="1:31" x14ac:dyDescent="0.3">
      <c r="A338" t="s">
        <v>27</v>
      </c>
      <c r="B338">
        <v>2022</v>
      </c>
      <c r="C338" t="s">
        <v>35</v>
      </c>
      <c r="D338">
        <f t="shared" si="6"/>
        <v>6</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s="2">
        <f>'Missing values'!V196</f>
        <v>166.8</v>
      </c>
      <c r="W338">
        <v>176.7</v>
      </c>
      <c r="X338">
        <v>170.3</v>
      </c>
      <c r="Y338">
        <v>178.2</v>
      </c>
      <c r="Z338">
        <v>169.5</v>
      </c>
      <c r="AA338">
        <v>172.6</v>
      </c>
      <c r="AB338">
        <v>168</v>
      </c>
      <c r="AC338">
        <v>165.5</v>
      </c>
      <c r="AD338">
        <v>171</v>
      </c>
      <c r="AE338">
        <v>173.6</v>
      </c>
    </row>
    <row r="339" spans="1:31" x14ac:dyDescent="0.3">
      <c r="A339" t="s">
        <v>30</v>
      </c>
      <c r="B339">
        <v>2022</v>
      </c>
      <c r="C339" t="s">
        <v>35</v>
      </c>
      <c r="D339">
        <f t="shared" si="6"/>
        <v>6</v>
      </c>
      <c r="E339">
        <v>155</v>
      </c>
      <c r="F339">
        <v>219.4</v>
      </c>
      <c r="G339">
        <v>170.8</v>
      </c>
      <c r="H339">
        <v>165.8</v>
      </c>
      <c r="I339">
        <v>200.9</v>
      </c>
      <c r="J339">
        <v>169.7</v>
      </c>
      <c r="K339">
        <v>182.3</v>
      </c>
      <c r="L339">
        <v>164.3</v>
      </c>
      <c r="M339">
        <v>119.9</v>
      </c>
      <c r="N339">
        <v>187.1</v>
      </c>
      <c r="O339">
        <v>167.9</v>
      </c>
      <c r="P339">
        <v>183.9</v>
      </c>
      <c r="Q339">
        <v>174.9</v>
      </c>
      <c r="R339">
        <v>194.3</v>
      </c>
      <c r="S339">
        <v>177.1</v>
      </c>
      <c r="T339">
        <v>169.9</v>
      </c>
      <c r="U339">
        <v>176</v>
      </c>
      <c r="V339">
        <v>166.8</v>
      </c>
      <c r="W339">
        <v>176</v>
      </c>
      <c r="X339">
        <v>166.4</v>
      </c>
      <c r="Y339">
        <v>175.4</v>
      </c>
      <c r="Z339">
        <v>169.4</v>
      </c>
      <c r="AA339">
        <v>169</v>
      </c>
      <c r="AB339">
        <v>165.8</v>
      </c>
      <c r="AC339">
        <v>161.1</v>
      </c>
      <c r="AD339">
        <v>167.5</v>
      </c>
      <c r="AE339">
        <v>172.6</v>
      </c>
    </row>
    <row r="340" spans="1:31" x14ac:dyDescent="0.3">
      <c r="A340" t="s">
        <v>29</v>
      </c>
      <c r="B340">
        <v>2022</v>
      </c>
      <c r="C340" t="s">
        <v>36</v>
      </c>
      <c r="D340">
        <f t="shared" si="6"/>
        <v>7</v>
      </c>
      <c r="E340">
        <v>157.5</v>
      </c>
      <c r="F340">
        <v>223.4</v>
      </c>
      <c r="G340">
        <v>172.8</v>
      </c>
      <c r="H340">
        <v>166.4</v>
      </c>
      <c r="I340">
        <v>188.6</v>
      </c>
      <c r="J340">
        <v>174.1</v>
      </c>
      <c r="K340">
        <v>211.5</v>
      </c>
      <c r="L340">
        <v>163.6</v>
      </c>
      <c r="M340">
        <v>121.4</v>
      </c>
      <c r="N340">
        <v>183.5</v>
      </c>
      <c r="O340">
        <v>159.1</v>
      </c>
      <c r="P340">
        <v>186.3</v>
      </c>
      <c r="Q340">
        <v>179.3</v>
      </c>
      <c r="R340">
        <v>198.3</v>
      </c>
      <c r="S340">
        <v>171.6</v>
      </c>
      <c r="T340">
        <v>157.4</v>
      </c>
      <c r="U340">
        <v>169.4</v>
      </c>
      <c r="V340">
        <v>166.8</v>
      </c>
      <c r="W340">
        <v>174.9</v>
      </c>
      <c r="X340">
        <v>162.1</v>
      </c>
      <c r="Y340">
        <v>170.9</v>
      </c>
      <c r="Z340">
        <v>169.2</v>
      </c>
      <c r="AA340">
        <v>166.5</v>
      </c>
      <c r="AB340">
        <v>164.1</v>
      </c>
      <c r="AC340">
        <v>157.19999999999999</v>
      </c>
      <c r="AD340">
        <v>163.80000000000001</v>
      </c>
      <c r="AE340">
        <v>171.4</v>
      </c>
    </row>
    <row r="341" spans="1:31" x14ac:dyDescent="0.3">
      <c r="A341" t="s">
        <v>27</v>
      </c>
      <c r="B341">
        <v>2022</v>
      </c>
      <c r="C341" t="s">
        <v>36</v>
      </c>
      <c r="D341">
        <f t="shared" si="6"/>
        <v>7</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s="2">
        <f>'Missing values'!V226</f>
        <v>167.8</v>
      </c>
      <c r="W341">
        <v>179.6</v>
      </c>
      <c r="X341">
        <v>171.3</v>
      </c>
      <c r="Y341">
        <v>178.8</v>
      </c>
      <c r="Z341">
        <v>169.7</v>
      </c>
      <c r="AA341">
        <v>174.7</v>
      </c>
      <c r="AB341">
        <v>168.6</v>
      </c>
      <c r="AC341">
        <v>166.3</v>
      </c>
      <c r="AD341">
        <v>171.8</v>
      </c>
      <c r="AE341">
        <v>174.3</v>
      </c>
    </row>
    <row r="342" spans="1:31" x14ac:dyDescent="0.3">
      <c r="A342" t="s">
        <v>30</v>
      </c>
      <c r="B342">
        <v>2022</v>
      </c>
      <c r="C342" t="s">
        <v>36</v>
      </c>
      <c r="D342">
        <f t="shared" si="6"/>
        <v>7</v>
      </c>
      <c r="E342">
        <v>156.5</v>
      </c>
      <c r="F342">
        <v>213</v>
      </c>
      <c r="G342">
        <v>175.2</v>
      </c>
      <c r="H342">
        <v>166.6</v>
      </c>
      <c r="I342">
        <v>195.8</v>
      </c>
      <c r="J342">
        <v>174.2</v>
      </c>
      <c r="K342">
        <v>182.1</v>
      </c>
      <c r="L342">
        <v>164.3</v>
      </c>
      <c r="M342">
        <v>120</v>
      </c>
      <c r="N342">
        <v>190</v>
      </c>
      <c r="O342">
        <v>168.4</v>
      </c>
      <c r="P342">
        <v>185.2</v>
      </c>
      <c r="Q342">
        <v>175</v>
      </c>
      <c r="R342">
        <v>194.6</v>
      </c>
      <c r="S342">
        <v>178.3</v>
      </c>
      <c r="T342">
        <v>171.3</v>
      </c>
      <c r="U342">
        <v>177.3</v>
      </c>
      <c r="V342">
        <v>167.8</v>
      </c>
      <c r="W342">
        <v>179.6</v>
      </c>
      <c r="X342">
        <v>167.4</v>
      </c>
      <c r="Y342">
        <v>176.1</v>
      </c>
      <c r="Z342">
        <v>169.7</v>
      </c>
      <c r="AA342">
        <v>171.4</v>
      </c>
      <c r="AB342">
        <v>166.3</v>
      </c>
      <c r="AC342">
        <v>161.6</v>
      </c>
      <c r="AD342">
        <v>168.4</v>
      </c>
      <c r="AE342">
        <v>173.4</v>
      </c>
    </row>
    <row r="343" spans="1:31" x14ac:dyDescent="0.3">
      <c r="A343" t="s">
        <v>29</v>
      </c>
      <c r="B343">
        <v>2022</v>
      </c>
      <c r="C343" t="s">
        <v>37</v>
      </c>
      <c r="D343">
        <f t="shared" si="6"/>
        <v>8</v>
      </c>
      <c r="E343">
        <v>159.30000000000001</v>
      </c>
      <c r="F343">
        <v>217.1</v>
      </c>
      <c r="G343">
        <v>176.6</v>
      </c>
      <c r="H343">
        <v>167.1</v>
      </c>
      <c r="I343">
        <v>184.8</v>
      </c>
      <c r="J343">
        <v>179.5</v>
      </c>
      <c r="K343">
        <v>208.5</v>
      </c>
      <c r="L343">
        <v>164</v>
      </c>
      <c r="M343">
        <v>121.5</v>
      </c>
      <c r="N343">
        <v>186.3</v>
      </c>
      <c r="O343">
        <v>159.80000000000001</v>
      </c>
      <c r="P343">
        <v>187.7</v>
      </c>
      <c r="Q343">
        <v>179.4</v>
      </c>
      <c r="R343">
        <v>198.6</v>
      </c>
      <c r="S343">
        <v>172.7</v>
      </c>
      <c r="T343">
        <v>158.69999999999999</v>
      </c>
      <c r="U343">
        <v>170.6</v>
      </c>
      <c r="V343">
        <v>167.8</v>
      </c>
      <c r="W343">
        <v>179.5</v>
      </c>
      <c r="X343">
        <v>163.1</v>
      </c>
      <c r="Y343">
        <v>171.7</v>
      </c>
      <c r="Z343">
        <v>169.8</v>
      </c>
      <c r="AA343">
        <v>169.1</v>
      </c>
      <c r="AB343">
        <v>164.6</v>
      </c>
      <c r="AC343">
        <v>157.4</v>
      </c>
      <c r="AD343">
        <v>164.7</v>
      </c>
      <c r="AE343">
        <v>172.3</v>
      </c>
    </row>
    <row r="344" spans="1:31" x14ac:dyDescent="0.3">
      <c r="A344" t="s">
        <v>27</v>
      </c>
      <c r="B344">
        <v>2022</v>
      </c>
      <c r="C344" t="s">
        <v>37</v>
      </c>
      <c r="D344">
        <f t="shared" si="6"/>
        <v>8</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s="2">
        <f>'Missing values'!V256</f>
        <v>169</v>
      </c>
      <c r="W344">
        <v>179.1</v>
      </c>
      <c r="X344">
        <v>172.3</v>
      </c>
      <c r="Y344">
        <v>179.4</v>
      </c>
      <c r="Z344">
        <v>171.1</v>
      </c>
      <c r="AA344">
        <v>175.7</v>
      </c>
      <c r="AB344">
        <v>169.3</v>
      </c>
      <c r="AC344">
        <v>166.6</v>
      </c>
      <c r="AD344">
        <v>172.6</v>
      </c>
      <c r="AE344">
        <v>175.3</v>
      </c>
    </row>
    <row r="345" spans="1:31" x14ac:dyDescent="0.3">
      <c r="A345" t="s">
        <v>30</v>
      </c>
      <c r="B345">
        <v>2022</v>
      </c>
      <c r="C345" t="s">
        <v>37</v>
      </c>
      <c r="D345">
        <f t="shared" si="6"/>
        <v>8</v>
      </c>
      <c r="E345">
        <v>160.30000000000001</v>
      </c>
      <c r="F345">
        <v>206.5</v>
      </c>
      <c r="G345">
        <v>169.2</v>
      </c>
      <c r="H345">
        <v>168.1</v>
      </c>
      <c r="I345">
        <v>192.4</v>
      </c>
      <c r="J345">
        <v>172.9</v>
      </c>
      <c r="K345">
        <v>186.7</v>
      </c>
      <c r="L345">
        <v>167.2</v>
      </c>
      <c r="M345">
        <v>120.9</v>
      </c>
      <c r="N345">
        <v>193.6</v>
      </c>
      <c r="O345">
        <v>168.8</v>
      </c>
      <c r="P345">
        <v>186.3</v>
      </c>
      <c r="Q345">
        <v>176.3</v>
      </c>
      <c r="R345">
        <v>195</v>
      </c>
      <c r="S345">
        <v>179.5</v>
      </c>
      <c r="T345">
        <v>172.7</v>
      </c>
      <c r="U345">
        <v>178.5</v>
      </c>
      <c r="V345">
        <v>169</v>
      </c>
      <c r="W345">
        <v>178.8</v>
      </c>
      <c r="X345">
        <v>168.5</v>
      </c>
      <c r="Y345">
        <v>176.8</v>
      </c>
      <c r="Z345">
        <v>171.2</v>
      </c>
      <c r="AA345">
        <v>172.3</v>
      </c>
      <c r="AB345">
        <v>166.9</v>
      </c>
      <c r="AC345">
        <v>161.9</v>
      </c>
      <c r="AD345">
        <v>169.1</v>
      </c>
      <c r="AE345">
        <v>174.3</v>
      </c>
    </row>
    <row r="346" spans="1:31" x14ac:dyDescent="0.3">
      <c r="A346" t="s">
        <v>29</v>
      </c>
      <c r="B346">
        <v>2022</v>
      </c>
      <c r="C346" t="s">
        <v>38</v>
      </c>
      <c r="D346">
        <f t="shared" si="6"/>
        <v>9</v>
      </c>
      <c r="E346">
        <v>162.1</v>
      </c>
      <c r="F346">
        <v>210.9</v>
      </c>
      <c r="G346">
        <v>170.6</v>
      </c>
      <c r="H346">
        <v>168.4</v>
      </c>
      <c r="I346">
        <v>182.5</v>
      </c>
      <c r="J346">
        <v>177.1</v>
      </c>
      <c r="K346">
        <v>213.1</v>
      </c>
      <c r="L346">
        <v>167.3</v>
      </c>
      <c r="M346">
        <v>122.2</v>
      </c>
      <c r="N346">
        <v>189.7</v>
      </c>
      <c r="O346">
        <v>160.5</v>
      </c>
      <c r="P346">
        <v>188.9</v>
      </c>
      <c r="Q346">
        <v>180.4</v>
      </c>
      <c r="R346">
        <v>198.7</v>
      </c>
      <c r="S346">
        <v>173.7</v>
      </c>
      <c r="T346">
        <v>160</v>
      </c>
      <c r="U346">
        <v>171.6</v>
      </c>
      <c r="V346">
        <v>169</v>
      </c>
      <c r="W346">
        <v>178.4</v>
      </c>
      <c r="X346">
        <v>164.2</v>
      </c>
      <c r="Y346">
        <v>172.6</v>
      </c>
      <c r="Z346">
        <v>171.4</v>
      </c>
      <c r="AA346">
        <v>169.9</v>
      </c>
      <c r="AB346">
        <v>165.1</v>
      </c>
      <c r="AC346">
        <v>157.69999999999999</v>
      </c>
      <c r="AD346">
        <v>165.4</v>
      </c>
      <c r="AE346">
        <v>173.1</v>
      </c>
    </row>
    <row r="347" spans="1:31" x14ac:dyDescent="0.3">
      <c r="A347" t="s">
        <v>27</v>
      </c>
      <c r="B347">
        <v>2022</v>
      </c>
      <c r="C347" t="s">
        <v>38</v>
      </c>
      <c r="D347">
        <f t="shared" si="6"/>
        <v>9</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s="2">
        <f>'Missing values'!V286</f>
        <v>169.5</v>
      </c>
      <c r="W347">
        <v>179.7</v>
      </c>
      <c r="X347">
        <v>173.6</v>
      </c>
      <c r="Y347">
        <v>180.2</v>
      </c>
      <c r="Z347">
        <v>170.8</v>
      </c>
      <c r="AA347">
        <v>176.2</v>
      </c>
      <c r="AB347">
        <v>170</v>
      </c>
      <c r="AC347">
        <v>166.9</v>
      </c>
      <c r="AD347">
        <v>173.1</v>
      </c>
      <c r="AE347">
        <v>176.4</v>
      </c>
    </row>
    <row r="348" spans="1:31" x14ac:dyDescent="0.3">
      <c r="A348" t="s">
        <v>30</v>
      </c>
      <c r="B348">
        <v>2022</v>
      </c>
      <c r="C348" t="s">
        <v>38</v>
      </c>
      <c r="D348">
        <f t="shared" si="6"/>
        <v>9</v>
      </c>
      <c r="E348">
        <v>163.5</v>
      </c>
      <c r="F348">
        <v>209.2</v>
      </c>
      <c r="G348">
        <v>169.7</v>
      </c>
      <c r="H348">
        <v>169.7</v>
      </c>
      <c r="I348">
        <v>188.7</v>
      </c>
      <c r="J348">
        <v>165.7</v>
      </c>
      <c r="K348">
        <v>191.8</v>
      </c>
      <c r="L348">
        <v>169.1</v>
      </c>
      <c r="M348">
        <v>121.6</v>
      </c>
      <c r="N348">
        <v>197.3</v>
      </c>
      <c r="O348">
        <v>169.4</v>
      </c>
      <c r="P348">
        <v>187.4</v>
      </c>
      <c r="Q348">
        <v>177.8</v>
      </c>
      <c r="R348">
        <v>195.9</v>
      </c>
      <c r="S348">
        <v>180.9</v>
      </c>
      <c r="T348">
        <v>174.3</v>
      </c>
      <c r="U348">
        <v>179.9</v>
      </c>
      <c r="V348">
        <v>169.5</v>
      </c>
      <c r="W348">
        <v>179.5</v>
      </c>
      <c r="X348">
        <v>169.5</v>
      </c>
      <c r="Y348">
        <v>177.8</v>
      </c>
      <c r="Z348">
        <v>170.9</v>
      </c>
      <c r="AA348">
        <v>173.1</v>
      </c>
      <c r="AB348">
        <v>167.6</v>
      </c>
      <c r="AC348">
        <v>162.30000000000001</v>
      </c>
      <c r="AD348">
        <v>169.7</v>
      </c>
      <c r="AE348">
        <v>175.3</v>
      </c>
    </row>
    <row r="349" spans="1:31" x14ac:dyDescent="0.3">
      <c r="A349" t="s">
        <v>29</v>
      </c>
      <c r="B349">
        <v>2022</v>
      </c>
      <c r="C349" t="s">
        <v>39</v>
      </c>
      <c r="D349">
        <f t="shared" si="6"/>
        <v>10</v>
      </c>
      <c r="E349">
        <v>164.9</v>
      </c>
      <c r="F349">
        <v>213.7</v>
      </c>
      <c r="G349">
        <v>170.9</v>
      </c>
      <c r="H349">
        <v>170.1</v>
      </c>
      <c r="I349">
        <v>179.3</v>
      </c>
      <c r="J349">
        <v>167.5</v>
      </c>
      <c r="K349">
        <v>220.8</v>
      </c>
      <c r="L349">
        <v>169.2</v>
      </c>
      <c r="M349">
        <v>123.1</v>
      </c>
      <c r="N349">
        <v>193.6</v>
      </c>
      <c r="O349">
        <v>161.1</v>
      </c>
      <c r="P349">
        <v>190.4</v>
      </c>
      <c r="Q349">
        <v>181.8</v>
      </c>
      <c r="R349">
        <v>199.7</v>
      </c>
      <c r="S349">
        <v>175</v>
      </c>
      <c r="T349">
        <v>161.69999999999999</v>
      </c>
      <c r="U349">
        <v>173</v>
      </c>
      <c r="V349">
        <v>169.5</v>
      </c>
      <c r="W349">
        <v>179.2</v>
      </c>
      <c r="X349">
        <v>165</v>
      </c>
      <c r="Y349">
        <v>173.8</v>
      </c>
      <c r="Z349">
        <v>171.1</v>
      </c>
      <c r="AA349">
        <v>170.9</v>
      </c>
      <c r="AB349">
        <v>165.8</v>
      </c>
      <c r="AC349">
        <v>158.19999999999999</v>
      </c>
      <c r="AD349">
        <v>166.1</v>
      </c>
      <c r="AE349">
        <v>174.1</v>
      </c>
    </row>
    <row r="350" spans="1:31" x14ac:dyDescent="0.3">
      <c r="A350" t="s">
        <v>27</v>
      </c>
      <c r="B350">
        <v>2022</v>
      </c>
      <c r="C350" t="s">
        <v>39</v>
      </c>
      <c r="D350">
        <f t="shared" si="6"/>
        <v>10</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s="2">
        <f>'Missing values'!V316</f>
        <v>171.2</v>
      </c>
      <c r="W350">
        <v>180.8</v>
      </c>
      <c r="X350">
        <v>174.4</v>
      </c>
      <c r="Y350">
        <v>181.2</v>
      </c>
      <c r="Z350">
        <v>172</v>
      </c>
      <c r="AA350">
        <v>176.5</v>
      </c>
      <c r="AB350">
        <v>170.6</v>
      </c>
      <c r="AC350">
        <v>167.4</v>
      </c>
      <c r="AD350">
        <v>173.9</v>
      </c>
      <c r="AE350">
        <v>177.9</v>
      </c>
    </row>
    <row r="351" spans="1:31" x14ac:dyDescent="0.3">
      <c r="A351" t="s">
        <v>30</v>
      </c>
      <c r="B351">
        <v>2022</v>
      </c>
      <c r="C351" t="s">
        <v>39</v>
      </c>
      <c r="D351">
        <f t="shared" si="6"/>
        <v>10</v>
      </c>
      <c r="E351">
        <v>165.2</v>
      </c>
      <c r="F351">
        <v>210.9</v>
      </c>
      <c r="G351">
        <v>170.9</v>
      </c>
      <c r="H351">
        <v>170.9</v>
      </c>
      <c r="I351">
        <v>186.5</v>
      </c>
      <c r="J351">
        <v>163.80000000000001</v>
      </c>
      <c r="K351">
        <v>199.7</v>
      </c>
      <c r="L351">
        <v>169.8</v>
      </c>
      <c r="M351">
        <v>121.9</v>
      </c>
      <c r="N351">
        <v>199.9</v>
      </c>
      <c r="O351">
        <v>169.9</v>
      </c>
      <c r="P351">
        <v>188.3</v>
      </c>
      <c r="Q351">
        <v>179.6</v>
      </c>
      <c r="R351">
        <v>196.3</v>
      </c>
      <c r="S351">
        <v>181.9</v>
      </c>
      <c r="T351">
        <v>175.3</v>
      </c>
      <c r="U351">
        <v>181</v>
      </c>
      <c r="V351">
        <v>171.2</v>
      </c>
      <c r="W351">
        <v>180.5</v>
      </c>
      <c r="X351">
        <v>170.4</v>
      </c>
      <c r="Y351">
        <v>178.7</v>
      </c>
      <c r="Z351">
        <v>172.1</v>
      </c>
      <c r="AA351">
        <v>173.4</v>
      </c>
      <c r="AB351">
        <v>168.2</v>
      </c>
      <c r="AC351">
        <v>162.9</v>
      </c>
      <c r="AD351">
        <v>170.5</v>
      </c>
      <c r="AE351">
        <v>176.7</v>
      </c>
    </row>
    <row r="352" spans="1:31" x14ac:dyDescent="0.3">
      <c r="A352" t="s">
        <v>29</v>
      </c>
      <c r="B352">
        <v>2022</v>
      </c>
      <c r="C352" t="s">
        <v>41</v>
      </c>
      <c r="D352">
        <f t="shared" si="6"/>
        <v>11</v>
      </c>
      <c r="E352">
        <v>166.4</v>
      </c>
      <c r="F352">
        <v>214.9</v>
      </c>
      <c r="G352">
        <v>171.9</v>
      </c>
      <c r="H352">
        <v>171</v>
      </c>
      <c r="I352">
        <v>177.7</v>
      </c>
      <c r="J352">
        <v>165.7</v>
      </c>
      <c r="K352">
        <v>228.6</v>
      </c>
      <c r="L352">
        <v>169.9</v>
      </c>
      <c r="M352">
        <v>123.4</v>
      </c>
      <c r="N352">
        <v>196.4</v>
      </c>
      <c r="O352">
        <v>161.6</v>
      </c>
      <c r="P352">
        <v>191.5</v>
      </c>
      <c r="Q352">
        <v>183.3</v>
      </c>
      <c r="R352">
        <v>200.1</v>
      </c>
      <c r="S352">
        <v>175.5</v>
      </c>
      <c r="T352">
        <v>162.6</v>
      </c>
      <c r="U352">
        <v>173.6</v>
      </c>
      <c r="V352">
        <v>171.2</v>
      </c>
      <c r="W352">
        <v>180</v>
      </c>
      <c r="X352">
        <v>166</v>
      </c>
      <c r="Y352">
        <v>174.7</v>
      </c>
      <c r="Z352">
        <v>172.3</v>
      </c>
      <c r="AA352">
        <v>171.2</v>
      </c>
      <c r="AB352">
        <v>166.3</v>
      </c>
      <c r="AC352">
        <v>158.80000000000001</v>
      </c>
      <c r="AD352">
        <v>166.8</v>
      </c>
      <c r="AE352">
        <v>175.3</v>
      </c>
    </row>
    <row r="353" spans="1:31" x14ac:dyDescent="0.3">
      <c r="A353" t="s">
        <v>27</v>
      </c>
      <c r="B353">
        <v>2022</v>
      </c>
      <c r="C353" t="s">
        <v>41</v>
      </c>
      <c r="D353">
        <f t="shared" si="6"/>
        <v>11</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s="2">
        <f>'Missing values'!V346</f>
        <v>171.8</v>
      </c>
      <c r="W353">
        <v>181.9</v>
      </c>
      <c r="X353">
        <v>175.5</v>
      </c>
      <c r="Y353">
        <v>182.3</v>
      </c>
      <c r="Z353">
        <v>173.4</v>
      </c>
      <c r="AA353">
        <v>176.9</v>
      </c>
      <c r="AB353">
        <v>170.8</v>
      </c>
      <c r="AC353">
        <v>167.5</v>
      </c>
      <c r="AD353">
        <v>174.6</v>
      </c>
      <c r="AE353">
        <v>177.8</v>
      </c>
    </row>
    <row r="354" spans="1:31" x14ac:dyDescent="0.3">
      <c r="A354" t="s">
        <v>30</v>
      </c>
      <c r="B354">
        <v>2022</v>
      </c>
      <c r="C354" t="s">
        <v>42</v>
      </c>
      <c r="D354">
        <f t="shared" si="6"/>
        <v>12</v>
      </c>
      <c r="E354">
        <v>167.4</v>
      </c>
      <c r="F354">
        <v>209.4</v>
      </c>
      <c r="G354">
        <v>181.4</v>
      </c>
      <c r="H354">
        <v>172.3</v>
      </c>
      <c r="I354">
        <v>188.9</v>
      </c>
      <c r="J354">
        <v>160.69999999999999</v>
      </c>
      <c r="K354">
        <v>183.1</v>
      </c>
      <c r="L354">
        <v>170.5</v>
      </c>
      <c r="M354">
        <v>122.1</v>
      </c>
      <c r="N354">
        <v>202.8</v>
      </c>
      <c r="O354">
        <v>170.4</v>
      </c>
      <c r="P354">
        <v>189.5</v>
      </c>
      <c r="Q354">
        <v>178.3</v>
      </c>
      <c r="R354">
        <v>196.9</v>
      </c>
      <c r="S354">
        <v>183.1</v>
      </c>
      <c r="T354">
        <v>176.2</v>
      </c>
      <c r="U354">
        <v>182.1</v>
      </c>
      <c r="V354">
        <v>171.8</v>
      </c>
      <c r="W354">
        <v>181.3</v>
      </c>
      <c r="X354">
        <v>171.4</v>
      </c>
      <c r="Y354">
        <v>179.8</v>
      </c>
      <c r="Z354">
        <v>173.6</v>
      </c>
      <c r="AA354">
        <v>173.7</v>
      </c>
      <c r="AB354">
        <v>168.5</v>
      </c>
      <c r="AC354">
        <v>163</v>
      </c>
      <c r="AD354">
        <v>171.1</v>
      </c>
      <c r="AE354">
        <v>176.5</v>
      </c>
    </row>
    <row r="355" spans="1:31" x14ac:dyDescent="0.3">
      <c r="A355" t="s">
        <v>29</v>
      </c>
      <c r="B355">
        <v>2022</v>
      </c>
      <c r="C355" t="s">
        <v>42</v>
      </c>
      <c r="D355">
        <f t="shared" si="6"/>
        <v>12</v>
      </c>
      <c r="E355">
        <v>168.4</v>
      </c>
      <c r="F355">
        <v>213.4</v>
      </c>
      <c r="G355">
        <v>183.2</v>
      </c>
      <c r="H355">
        <v>172.3</v>
      </c>
      <c r="I355">
        <v>180</v>
      </c>
      <c r="J355">
        <v>162.6</v>
      </c>
      <c r="K355">
        <v>205.5</v>
      </c>
      <c r="L355">
        <v>171</v>
      </c>
      <c r="M355">
        <v>123.4</v>
      </c>
      <c r="N355">
        <v>198.8</v>
      </c>
      <c r="O355">
        <v>162.1</v>
      </c>
      <c r="P355">
        <v>192.4</v>
      </c>
      <c r="Q355">
        <v>181.3</v>
      </c>
      <c r="R355">
        <v>200.6</v>
      </c>
      <c r="S355">
        <v>176.7</v>
      </c>
      <c r="T355">
        <v>163.5</v>
      </c>
      <c r="U355">
        <v>174.7</v>
      </c>
      <c r="V355">
        <v>171.8</v>
      </c>
      <c r="W355">
        <v>180.3</v>
      </c>
      <c r="X355">
        <v>166.9</v>
      </c>
      <c r="Y355">
        <v>175.8</v>
      </c>
      <c r="Z355">
        <v>173.8</v>
      </c>
      <c r="AA355">
        <v>171.5</v>
      </c>
      <c r="AB355">
        <v>166.7</v>
      </c>
      <c r="AC355">
        <v>158.9</v>
      </c>
      <c r="AD355">
        <v>167.4</v>
      </c>
      <c r="AE355">
        <v>174.1</v>
      </c>
    </row>
    <row r="356" spans="1:31" x14ac:dyDescent="0.3">
      <c r="A356" t="s">
        <v>27</v>
      </c>
      <c r="B356">
        <v>2022</v>
      </c>
      <c r="C356" t="s">
        <v>42</v>
      </c>
      <c r="D356">
        <f t="shared" si="6"/>
        <v>12</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s="2">
        <f>'Missing values'!V376</f>
        <v>170.7</v>
      </c>
      <c r="W356">
        <v>182.8</v>
      </c>
      <c r="X356">
        <v>176.4</v>
      </c>
      <c r="Y356">
        <v>183.5</v>
      </c>
      <c r="Z356">
        <v>175.7</v>
      </c>
      <c r="AA356">
        <v>177.3</v>
      </c>
      <c r="AB356">
        <v>171.2</v>
      </c>
      <c r="AC356">
        <v>167.8</v>
      </c>
      <c r="AD356">
        <v>175.5</v>
      </c>
      <c r="AE356">
        <v>177.1</v>
      </c>
    </row>
    <row r="357" spans="1:31" x14ac:dyDescent="0.3">
      <c r="A357" t="s">
        <v>30</v>
      </c>
      <c r="B357">
        <v>2022</v>
      </c>
      <c r="C357" t="s">
        <v>43</v>
      </c>
      <c r="D357">
        <f t="shared" si="6"/>
        <v>0</v>
      </c>
      <c r="E357">
        <v>169.2</v>
      </c>
      <c r="F357">
        <v>209</v>
      </c>
      <c r="G357">
        <v>190.2</v>
      </c>
      <c r="H357">
        <v>173.6</v>
      </c>
      <c r="I357">
        <v>188.5</v>
      </c>
      <c r="J357">
        <v>158</v>
      </c>
      <c r="K357">
        <v>159.9</v>
      </c>
      <c r="L357">
        <v>170.8</v>
      </c>
      <c r="M357">
        <v>121.8</v>
      </c>
      <c r="N357">
        <v>205.2</v>
      </c>
      <c r="O357">
        <v>171</v>
      </c>
      <c r="P357">
        <v>190.3</v>
      </c>
      <c r="Q357">
        <v>175.9</v>
      </c>
      <c r="R357">
        <v>197.3</v>
      </c>
      <c r="S357">
        <v>184</v>
      </c>
      <c r="T357">
        <v>177</v>
      </c>
      <c r="U357">
        <v>183</v>
      </c>
      <c r="V357">
        <v>170.7</v>
      </c>
      <c r="W357">
        <v>182</v>
      </c>
      <c r="X357">
        <v>172.1</v>
      </c>
      <c r="Y357">
        <v>181.1</v>
      </c>
      <c r="Z357">
        <v>175.8</v>
      </c>
      <c r="AA357">
        <v>174.1</v>
      </c>
      <c r="AB357">
        <v>168.9</v>
      </c>
      <c r="AC357">
        <v>163.4</v>
      </c>
      <c r="AD357">
        <v>172</v>
      </c>
      <c r="AE357">
        <v>175.7</v>
      </c>
    </row>
    <row r="358" spans="1:31" x14ac:dyDescent="0.3">
      <c r="A358" t="s">
        <v>29</v>
      </c>
      <c r="B358">
        <v>2022</v>
      </c>
      <c r="C358" t="s">
        <v>40</v>
      </c>
      <c r="D358">
        <f t="shared" si="6"/>
        <v>0</v>
      </c>
      <c r="E358">
        <v>170.2</v>
      </c>
      <c r="F358">
        <v>212.9</v>
      </c>
      <c r="G358">
        <v>191.9</v>
      </c>
      <c r="H358">
        <v>173.9</v>
      </c>
      <c r="I358">
        <v>179.1</v>
      </c>
      <c r="J358">
        <v>159.5</v>
      </c>
      <c r="K358">
        <v>178.7</v>
      </c>
      <c r="L358">
        <v>171.3</v>
      </c>
      <c r="M358">
        <v>123.1</v>
      </c>
      <c r="N358">
        <v>200.5</v>
      </c>
      <c r="O358">
        <v>162.80000000000001</v>
      </c>
      <c r="P358">
        <v>193.3</v>
      </c>
      <c r="Q358">
        <v>178.6</v>
      </c>
      <c r="R358">
        <v>201.1</v>
      </c>
      <c r="S358">
        <v>177.7</v>
      </c>
      <c r="T358">
        <v>164.5</v>
      </c>
      <c r="U358">
        <v>175.7</v>
      </c>
      <c r="V358">
        <v>170.7</v>
      </c>
      <c r="W358">
        <v>180.6</v>
      </c>
      <c r="X358">
        <v>167.3</v>
      </c>
      <c r="Y358">
        <v>177.2</v>
      </c>
      <c r="Z358">
        <v>176</v>
      </c>
      <c r="AA358">
        <v>171.8</v>
      </c>
      <c r="AB358">
        <v>167.1</v>
      </c>
      <c r="AC358">
        <v>159.4</v>
      </c>
      <c r="AD358">
        <v>168.2</v>
      </c>
      <c r="AE358">
        <v>174.1</v>
      </c>
    </row>
    <row r="359" spans="1:31" x14ac:dyDescent="0.3">
      <c r="A359" t="s">
        <v>27</v>
      </c>
      <c r="B359">
        <v>2023</v>
      </c>
      <c r="C359" t="s">
        <v>28</v>
      </c>
      <c r="D359">
        <f t="shared" si="6"/>
        <v>1</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s="2">
        <f>'Missing values'!V37</f>
        <v>172.1</v>
      </c>
      <c r="W359">
        <v>183.2</v>
      </c>
      <c r="X359">
        <v>177.2</v>
      </c>
      <c r="Y359">
        <v>184.7</v>
      </c>
      <c r="Z359">
        <v>178.4</v>
      </c>
      <c r="AA359">
        <v>177.8</v>
      </c>
      <c r="AB359">
        <v>171.8</v>
      </c>
      <c r="AC359">
        <v>168.2</v>
      </c>
      <c r="AD359">
        <v>176.5</v>
      </c>
      <c r="AE359">
        <v>177.8</v>
      </c>
    </row>
    <row r="360" spans="1:31" x14ac:dyDescent="0.3">
      <c r="A360" t="s">
        <v>30</v>
      </c>
      <c r="B360">
        <v>2023</v>
      </c>
      <c r="C360" t="s">
        <v>28</v>
      </c>
      <c r="D360">
        <f t="shared" si="6"/>
        <v>1</v>
      </c>
      <c r="E360">
        <v>173.8</v>
      </c>
      <c r="F360">
        <v>210.7</v>
      </c>
      <c r="G360">
        <v>194.5</v>
      </c>
      <c r="H360">
        <v>174.6</v>
      </c>
      <c r="I360">
        <v>187.2</v>
      </c>
      <c r="J360">
        <v>158.30000000000001</v>
      </c>
      <c r="K360">
        <v>153.9</v>
      </c>
      <c r="L360">
        <v>170.9</v>
      </c>
      <c r="M360">
        <v>121.1</v>
      </c>
      <c r="N360">
        <v>208.4</v>
      </c>
      <c r="O360">
        <v>171.4</v>
      </c>
      <c r="P360">
        <v>191.2</v>
      </c>
      <c r="Q360">
        <v>176.7</v>
      </c>
      <c r="R360">
        <v>198.2</v>
      </c>
      <c r="S360">
        <v>184.9</v>
      </c>
      <c r="T360">
        <v>177.6</v>
      </c>
      <c r="U360">
        <v>183.8</v>
      </c>
      <c r="V360">
        <v>172.1</v>
      </c>
      <c r="W360">
        <v>182</v>
      </c>
      <c r="X360">
        <v>172.9</v>
      </c>
      <c r="Y360">
        <v>182.3</v>
      </c>
      <c r="Z360">
        <v>178.6</v>
      </c>
      <c r="AA360">
        <v>174.3</v>
      </c>
      <c r="AB360">
        <v>169.5</v>
      </c>
      <c r="AC360">
        <v>163.6</v>
      </c>
      <c r="AD360">
        <v>172.8</v>
      </c>
      <c r="AE360">
        <v>176.5</v>
      </c>
    </row>
    <row r="361" spans="1:31" x14ac:dyDescent="0.3">
      <c r="A361" t="s">
        <v>29</v>
      </c>
      <c r="B361">
        <v>2023</v>
      </c>
      <c r="C361" t="s">
        <v>28</v>
      </c>
      <c r="D361">
        <f t="shared" si="6"/>
        <v>1</v>
      </c>
      <c r="E361">
        <v>173.3</v>
      </c>
      <c r="F361">
        <v>215.2</v>
      </c>
      <c r="G361">
        <v>197</v>
      </c>
      <c r="H361">
        <v>175.2</v>
      </c>
      <c r="I361">
        <v>178</v>
      </c>
      <c r="J361">
        <v>160.5</v>
      </c>
      <c r="K361">
        <v>175.3</v>
      </c>
      <c r="L361">
        <v>171.2</v>
      </c>
      <c r="M361">
        <v>122.7</v>
      </c>
      <c r="N361">
        <v>204.3</v>
      </c>
      <c r="O361">
        <v>163.69999999999999</v>
      </c>
      <c r="P361">
        <v>194.3</v>
      </c>
      <c r="Q361">
        <v>179.5</v>
      </c>
      <c r="R361">
        <v>201.6</v>
      </c>
      <c r="S361">
        <v>178.7</v>
      </c>
      <c r="T361">
        <v>165.3</v>
      </c>
      <c r="U361">
        <v>176.6</v>
      </c>
      <c r="V361">
        <v>172.1</v>
      </c>
      <c r="W361">
        <v>180.1</v>
      </c>
      <c r="X361">
        <v>168</v>
      </c>
      <c r="Y361">
        <v>178.5</v>
      </c>
      <c r="Z361">
        <v>178.8</v>
      </c>
      <c r="AA361">
        <v>171.8</v>
      </c>
      <c r="AB361">
        <v>167.8</v>
      </c>
      <c r="AC361">
        <v>159.5</v>
      </c>
      <c r="AD361">
        <v>168.9</v>
      </c>
      <c r="AE361">
        <v>174.9</v>
      </c>
    </row>
    <row r="362" spans="1:31" x14ac:dyDescent="0.3">
      <c r="A362" t="s">
        <v>27</v>
      </c>
      <c r="B362">
        <v>2023</v>
      </c>
      <c r="C362" t="s">
        <v>31</v>
      </c>
      <c r="D362">
        <f t="shared" si="6"/>
        <v>2</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s="2">
        <f>'Missing values'!V70</f>
        <v>173.5</v>
      </c>
      <c r="W362">
        <v>181.6</v>
      </c>
      <c r="X362">
        <v>178.6</v>
      </c>
      <c r="Y362">
        <v>186.6</v>
      </c>
      <c r="Z362">
        <v>180.7</v>
      </c>
      <c r="AA362">
        <v>178.5</v>
      </c>
      <c r="AB362">
        <v>172.8</v>
      </c>
      <c r="AC362">
        <v>169</v>
      </c>
      <c r="AD362">
        <v>177.9</v>
      </c>
      <c r="AE362">
        <v>178</v>
      </c>
    </row>
    <row r="363" spans="1:31" x14ac:dyDescent="0.3">
      <c r="A363" t="s">
        <v>30</v>
      </c>
      <c r="B363">
        <v>2023</v>
      </c>
      <c r="C363" t="s">
        <v>31</v>
      </c>
      <c r="D363">
        <f t="shared" si="6"/>
        <v>2</v>
      </c>
      <c r="E363">
        <v>174.4</v>
      </c>
      <c r="F363">
        <v>207.7</v>
      </c>
      <c r="G363">
        <v>175.2</v>
      </c>
      <c r="H363">
        <v>177.3</v>
      </c>
      <c r="I363">
        <v>179.3</v>
      </c>
      <c r="J363">
        <v>169.5</v>
      </c>
      <c r="K363">
        <v>152.69999999999999</v>
      </c>
      <c r="L363">
        <v>171</v>
      </c>
      <c r="M363">
        <v>120</v>
      </c>
      <c r="N363">
        <v>209.7</v>
      </c>
      <c r="O363">
        <v>172.3</v>
      </c>
      <c r="P363">
        <v>193</v>
      </c>
      <c r="Q363">
        <v>177</v>
      </c>
      <c r="R363">
        <v>199.5</v>
      </c>
      <c r="S363">
        <v>186.2</v>
      </c>
      <c r="T363">
        <v>178.7</v>
      </c>
      <c r="U363">
        <v>185.1</v>
      </c>
      <c r="V363">
        <v>173.5</v>
      </c>
      <c r="W363">
        <v>182.1</v>
      </c>
      <c r="X363">
        <v>174.2</v>
      </c>
      <c r="Y363">
        <v>184.4</v>
      </c>
      <c r="Z363">
        <v>181</v>
      </c>
      <c r="AA363">
        <v>175</v>
      </c>
      <c r="AB363">
        <v>170.3</v>
      </c>
      <c r="AC363">
        <v>164.2</v>
      </c>
      <c r="AD363">
        <v>174.1</v>
      </c>
      <c r="AE363">
        <v>177.2</v>
      </c>
    </row>
    <row r="364" spans="1:31" x14ac:dyDescent="0.3">
      <c r="A364" t="s">
        <v>29</v>
      </c>
      <c r="B364">
        <v>2023</v>
      </c>
      <c r="C364" t="s">
        <v>31</v>
      </c>
      <c r="D364">
        <f t="shared" si="6"/>
        <v>2</v>
      </c>
      <c r="E364">
        <v>174.7</v>
      </c>
      <c r="F364">
        <v>212.2</v>
      </c>
      <c r="G364">
        <v>177.2</v>
      </c>
      <c r="H364">
        <v>177.9</v>
      </c>
      <c r="I364">
        <v>172.2</v>
      </c>
      <c r="J364">
        <v>172.1</v>
      </c>
      <c r="K364">
        <v>175.8</v>
      </c>
      <c r="L364">
        <v>172.2</v>
      </c>
      <c r="M364">
        <v>121.9</v>
      </c>
      <c r="N364">
        <v>204.8</v>
      </c>
      <c r="O364">
        <v>164.9</v>
      </c>
      <c r="P364">
        <v>196.6</v>
      </c>
      <c r="Q364">
        <v>180.7</v>
      </c>
      <c r="R364">
        <v>202.7</v>
      </c>
      <c r="S364">
        <v>180.3</v>
      </c>
      <c r="T364">
        <v>167</v>
      </c>
      <c r="U364">
        <v>178.2</v>
      </c>
      <c r="V364">
        <v>173.5</v>
      </c>
      <c r="W364">
        <v>182.8</v>
      </c>
      <c r="X364">
        <v>169.2</v>
      </c>
      <c r="Y364">
        <v>180.8</v>
      </c>
      <c r="Z364">
        <v>181.4</v>
      </c>
      <c r="AA364">
        <v>172.5</v>
      </c>
      <c r="AB364">
        <v>168.4</v>
      </c>
      <c r="AC364">
        <v>159.80000000000001</v>
      </c>
      <c r="AD364">
        <v>170</v>
      </c>
      <c r="AE364">
        <v>176.3</v>
      </c>
    </row>
    <row r="365" spans="1:31" x14ac:dyDescent="0.3">
      <c r="A365" t="s">
        <v>27</v>
      </c>
      <c r="B365">
        <v>2023</v>
      </c>
      <c r="C365" t="s">
        <v>32</v>
      </c>
      <c r="D365">
        <f t="shared" si="6"/>
        <v>3</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s="2">
        <f>'Missing values'!V103</f>
        <v>173.5</v>
      </c>
      <c r="W365">
        <v>181.4</v>
      </c>
      <c r="X365">
        <v>178.6</v>
      </c>
      <c r="Y365">
        <v>186.6</v>
      </c>
      <c r="Z365">
        <v>180.7</v>
      </c>
      <c r="AA365">
        <v>178.5</v>
      </c>
      <c r="AB365">
        <v>172.8</v>
      </c>
      <c r="AC365">
        <v>169</v>
      </c>
      <c r="AD365">
        <v>177.9</v>
      </c>
      <c r="AE365">
        <v>178</v>
      </c>
    </row>
    <row r="366" spans="1:31" x14ac:dyDescent="0.3">
      <c r="A366" t="s">
        <v>30</v>
      </c>
      <c r="B366">
        <v>2023</v>
      </c>
      <c r="C366" t="s">
        <v>32</v>
      </c>
      <c r="D366">
        <f t="shared" ref="D366:D373" si="7">IF(C366="January",1,
IF(C366="february",2,
IF(C366="march",3,
IF(C366="april",4,
IF(C366="may",5,
IF(C366="june",6,
IF(C366="july",7,
IF(C366="august",8,
IF(C366="september",9,
IF(C366="october",10,
IF(C366="november",11,
IF(C366="december",12,
))))))))))))</f>
        <v>3</v>
      </c>
      <c r="E366">
        <v>174.4</v>
      </c>
      <c r="F366">
        <v>207.7</v>
      </c>
      <c r="G366">
        <v>175.2</v>
      </c>
      <c r="H366">
        <v>177.3</v>
      </c>
      <c r="I366">
        <v>179.2</v>
      </c>
      <c r="J366">
        <v>169.5</v>
      </c>
      <c r="K366">
        <v>152.80000000000001</v>
      </c>
      <c r="L366">
        <v>171.1</v>
      </c>
      <c r="M366">
        <v>120</v>
      </c>
      <c r="N366">
        <v>209.7</v>
      </c>
      <c r="O366">
        <v>172.3</v>
      </c>
      <c r="P366">
        <v>193</v>
      </c>
      <c r="Q366">
        <v>177</v>
      </c>
      <c r="R366">
        <v>199.5</v>
      </c>
      <c r="S366">
        <v>186.1</v>
      </c>
      <c r="T366">
        <v>178.7</v>
      </c>
      <c r="U366">
        <v>185.1</v>
      </c>
      <c r="V366">
        <v>173.5</v>
      </c>
      <c r="W366">
        <v>181.9</v>
      </c>
      <c r="X366">
        <v>174.2</v>
      </c>
      <c r="Y366">
        <v>184.4</v>
      </c>
      <c r="Z366">
        <v>181</v>
      </c>
      <c r="AA366">
        <v>175</v>
      </c>
      <c r="AB366">
        <v>170.3</v>
      </c>
      <c r="AC366">
        <v>164.2</v>
      </c>
      <c r="AD366">
        <v>174.1</v>
      </c>
      <c r="AE366">
        <v>177.2</v>
      </c>
    </row>
    <row r="367" spans="1:31" x14ac:dyDescent="0.3">
      <c r="A367" t="s">
        <v>29</v>
      </c>
      <c r="B367">
        <v>2023</v>
      </c>
      <c r="C367" t="s">
        <v>33</v>
      </c>
      <c r="D367">
        <f t="shared" si="7"/>
        <v>4</v>
      </c>
      <c r="E367">
        <v>174.7</v>
      </c>
      <c r="F367">
        <v>212.2</v>
      </c>
      <c r="G367">
        <v>177.2</v>
      </c>
      <c r="H367">
        <v>177.9</v>
      </c>
      <c r="I367">
        <v>172.2</v>
      </c>
      <c r="J367">
        <v>172.1</v>
      </c>
      <c r="K367">
        <v>175.9</v>
      </c>
      <c r="L367">
        <v>172.2</v>
      </c>
      <c r="M367">
        <v>121.9</v>
      </c>
      <c r="N367">
        <v>204.8</v>
      </c>
      <c r="O367">
        <v>164.9</v>
      </c>
      <c r="P367">
        <v>196.6</v>
      </c>
      <c r="Q367">
        <v>180.8</v>
      </c>
      <c r="R367">
        <v>202.7</v>
      </c>
      <c r="S367">
        <v>180.2</v>
      </c>
      <c r="T367">
        <v>167</v>
      </c>
      <c r="U367">
        <v>178.2</v>
      </c>
      <c r="V367">
        <v>173.5</v>
      </c>
      <c r="W367">
        <v>182.6</v>
      </c>
      <c r="X367">
        <v>169.2</v>
      </c>
      <c r="Y367">
        <v>180.8</v>
      </c>
      <c r="Z367">
        <v>181.5</v>
      </c>
      <c r="AA367">
        <v>172.5</v>
      </c>
      <c r="AB367">
        <v>168.4</v>
      </c>
      <c r="AC367">
        <v>159.80000000000001</v>
      </c>
      <c r="AD367">
        <v>170</v>
      </c>
      <c r="AE367">
        <v>176.3</v>
      </c>
    </row>
    <row r="368" spans="1:31" x14ac:dyDescent="0.3">
      <c r="A368" t="s">
        <v>27</v>
      </c>
      <c r="B368">
        <v>2023</v>
      </c>
      <c r="C368" t="s">
        <v>33</v>
      </c>
      <c r="D368">
        <f t="shared" si="7"/>
        <v>4</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s="2">
        <f>'Missing values'!V133</f>
        <v>175.2</v>
      </c>
      <c r="W368">
        <v>181.5</v>
      </c>
      <c r="X368">
        <v>179.1</v>
      </c>
      <c r="Y368">
        <v>187.2</v>
      </c>
      <c r="Z368">
        <v>183.8</v>
      </c>
      <c r="AA368">
        <v>179.4</v>
      </c>
      <c r="AB368">
        <v>173.2</v>
      </c>
      <c r="AC368">
        <v>169.4</v>
      </c>
      <c r="AD368">
        <v>178.9</v>
      </c>
      <c r="AE368">
        <v>178.8</v>
      </c>
    </row>
    <row r="369" spans="1:31" x14ac:dyDescent="0.3">
      <c r="A369" t="s">
        <v>30</v>
      </c>
      <c r="B369">
        <v>2023</v>
      </c>
      <c r="C369" t="s">
        <v>33</v>
      </c>
      <c r="D369">
        <f t="shared" si="7"/>
        <v>4</v>
      </c>
      <c r="E369">
        <v>173.8</v>
      </c>
      <c r="F369">
        <v>209.3</v>
      </c>
      <c r="G369">
        <v>169.6</v>
      </c>
      <c r="H369">
        <v>178.4</v>
      </c>
      <c r="I369">
        <v>174.9</v>
      </c>
      <c r="J369">
        <v>176.3</v>
      </c>
      <c r="K369">
        <v>155.4</v>
      </c>
      <c r="L369">
        <v>173.4</v>
      </c>
      <c r="M369">
        <v>121.3</v>
      </c>
      <c r="N369">
        <v>212.9</v>
      </c>
      <c r="O369">
        <v>172.9</v>
      </c>
      <c r="P369">
        <v>193.5</v>
      </c>
      <c r="Q369">
        <v>177.9</v>
      </c>
      <c r="R369">
        <v>200.6</v>
      </c>
      <c r="S369">
        <v>186.9</v>
      </c>
      <c r="T369">
        <v>179.2</v>
      </c>
      <c r="U369">
        <v>185.7</v>
      </c>
      <c r="V369">
        <v>175.2</v>
      </c>
      <c r="W369">
        <v>181.7</v>
      </c>
      <c r="X369">
        <v>174.6</v>
      </c>
      <c r="Y369">
        <v>185</v>
      </c>
      <c r="Z369">
        <v>184</v>
      </c>
      <c r="AA369">
        <v>176.4</v>
      </c>
      <c r="AB369">
        <v>170.7</v>
      </c>
      <c r="AC369">
        <v>164.5</v>
      </c>
      <c r="AD369">
        <v>175</v>
      </c>
      <c r="AE369">
        <v>178.1</v>
      </c>
    </row>
    <row r="370" spans="1:31" x14ac:dyDescent="0.3">
      <c r="A370" t="s">
        <v>29</v>
      </c>
      <c r="B370">
        <v>2023</v>
      </c>
      <c r="C370" t="s">
        <v>34</v>
      </c>
      <c r="D370">
        <f t="shared" si="7"/>
        <v>5</v>
      </c>
      <c r="E370">
        <v>174.8</v>
      </c>
      <c r="F370">
        <v>213.7</v>
      </c>
      <c r="G370">
        <v>172.4</v>
      </c>
      <c r="H370">
        <v>178.8</v>
      </c>
      <c r="I370">
        <v>168.7</v>
      </c>
      <c r="J370">
        <v>179.2</v>
      </c>
      <c r="K370">
        <v>179.9</v>
      </c>
      <c r="L370">
        <v>174.7</v>
      </c>
      <c r="M370">
        <v>123.1</v>
      </c>
      <c r="N370">
        <v>207.8</v>
      </c>
      <c r="O370">
        <v>165.5</v>
      </c>
      <c r="P370">
        <v>197</v>
      </c>
      <c r="Q370">
        <v>182.1</v>
      </c>
      <c r="R370">
        <v>203.5</v>
      </c>
      <c r="S370">
        <v>181</v>
      </c>
      <c r="T370">
        <v>167.7</v>
      </c>
      <c r="U370">
        <v>178.9</v>
      </c>
      <c r="V370">
        <v>175.2</v>
      </c>
      <c r="W370">
        <v>182.1</v>
      </c>
      <c r="X370">
        <v>169.6</v>
      </c>
      <c r="Y370">
        <v>181.5</v>
      </c>
      <c r="Z370">
        <v>184.4</v>
      </c>
      <c r="AA370">
        <v>174.2</v>
      </c>
      <c r="AB370">
        <v>168.8</v>
      </c>
      <c r="AC370">
        <v>160.1</v>
      </c>
      <c r="AD370">
        <v>170.9</v>
      </c>
      <c r="AE370">
        <v>177.4</v>
      </c>
    </row>
    <row r="371" spans="1:31" x14ac:dyDescent="0.3">
      <c r="A371" t="s">
        <v>27</v>
      </c>
      <c r="B371">
        <v>2023</v>
      </c>
      <c r="C371" t="s">
        <v>34</v>
      </c>
      <c r="D371">
        <f t="shared" si="7"/>
        <v>5</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s="2">
        <f>'Missing values'!V166</f>
        <v>175.6</v>
      </c>
      <c r="W371">
        <v>182.5</v>
      </c>
      <c r="X371">
        <v>179.8</v>
      </c>
      <c r="Y371">
        <v>187.8</v>
      </c>
      <c r="Z371">
        <v>184.9</v>
      </c>
      <c r="AA371">
        <v>180.3</v>
      </c>
      <c r="AB371">
        <v>173.8</v>
      </c>
      <c r="AC371">
        <v>169.7</v>
      </c>
      <c r="AD371">
        <v>179.5</v>
      </c>
      <c r="AE371">
        <v>179.8</v>
      </c>
    </row>
    <row r="372" spans="1:31" x14ac:dyDescent="0.3">
      <c r="A372" t="s">
        <v>30</v>
      </c>
      <c r="B372">
        <v>2023</v>
      </c>
      <c r="C372" t="s">
        <v>34</v>
      </c>
      <c r="D372">
        <f t="shared" si="7"/>
        <v>5</v>
      </c>
      <c r="E372">
        <v>173.7</v>
      </c>
      <c r="F372">
        <v>214.3</v>
      </c>
      <c r="G372">
        <v>173.2</v>
      </c>
      <c r="H372">
        <v>179.5</v>
      </c>
      <c r="I372">
        <v>170</v>
      </c>
      <c r="J372">
        <v>172.2</v>
      </c>
      <c r="K372">
        <v>161</v>
      </c>
      <c r="L372">
        <v>175.6</v>
      </c>
      <c r="M372">
        <v>122.7</v>
      </c>
      <c r="N372">
        <v>218</v>
      </c>
      <c r="O372">
        <v>173.4</v>
      </c>
      <c r="P372">
        <v>194.2</v>
      </c>
      <c r="Q372">
        <v>179.1</v>
      </c>
      <c r="R372">
        <v>201</v>
      </c>
      <c r="S372">
        <v>187.3</v>
      </c>
      <c r="T372">
        <v>179.7</v>
      </c>
      <c r="U372">
        <v>186.2</v>
      </c>
      <c r="V372">
        <v>175.6</v>
      </c>
      <c r="W372">
        <v>182.8</v>
      </c>
      <c r="X372">
        <v>175.2</v>
      </c>
      <c r="Y372">
        <v>185.7</v>
      </c>
      <c r="Z372">
        <v>185.2</v>
      </c>
      <c r="AA372">
        <v>177.1</v>
      </c>
      <c r="AB372">
        <v>171.2</v>
      </c>
      <c r="AC372">
        <v>164.8</v>
      </c>
      <c r="AD372">
        <v>175.7</v>
      </c>
      <c r="AE372">
        <v>179.1</v>
      </c>
    </row>
    <row r="373" spans="1:31" x14ac:dyDescent="0.3">
      <c r="A373" t="s">
        <v>29</v>
      </c>
      <c r="B373">
        <v>2023</v>
      </c>
      <c r="C373" t="s">
        <v>35</v>
      </c>
      <c r="D373">
        <f t="shared" si="7"/>
        <v>6</v>
      </c>
      <c r="E373">
        <v>174.7</v>
      </c>
      <c r="F373">
        <v>219.4</v>
      </c>
      <c r="G373">
        <v>176.7</v>
      </c>
      <c r="H373">
        <v>179.4</v>
      </c>
      <c r="I373">
        <v>164.4</v>
      </c>
      <c r="J373">
        <v>175.8</v>
      </c>
      <c r="K373">
        <v>185</v>
      </c>
      <c r="L373">
        <v>176.9</v>
      </c>
      <c r="M373">
        <v>124.2</v>
      </c>
      <c r="N373">
        <v>211.9</v>
      </c>
      <c r="O373">
        <v>165.9</v>
      </c>
      <c r="P373">
        <v>197.7</v>
      </c>
      <c r="Q373">
        <v>183.1</v>
      </c>
      <c r="R373">
        <v>204.2</v>
      </c>
      <c r="S373">
        <v>181.3</v>
      </c>
      <c r="T373">
        <v>168.1</v>
      </c>
      <c r="U373">
        <v>179.3</v>
      </c>
      <c r="V373">
        <v>175.6</v>
      </c>
      <c r="W373">
        <v>183.4</v>
      </c>
      <c r="X373">
        <v>170.1</v>
      </c>
      <c r="Y373">
        <v>182.2</v>
      </c>
      <c r="Z373">
        <v>185.6</v>
      </c>
      <c r="AA373">
        <v>174.8</v>
      </c>
      <c r="AB373">
        <v>169.2</v>
      </c>
      <c r="AC373">
        <v>160.4</v>
      </c>
      <c r="AD373">
        <v>171.6</v>
      </c>
      <c r="AE373">
        <v>178.2</v>
      </c>
    </row>
  </sheetData>
  <autoFilter ref="A1:AE373" xr:uid="{4C4BA771-8F0F-44A8-B837-4BF7E368F335}"/>
  <sortState xmlns:xlrd2="http://schemas.microsoft.com/office/spreadsheetml/2017/richdata2" ref="C2:C375">
    <sortCondition ref="C2:C375" customList="January,February,March,April,May,June,July,August,September,October,November,December"/>
  </sortState>
  <phoneticPr fontId="43" type="noConversion"/>
  <conditionalFormatting sqref="A1:AE373">
    <cfRule type="containsText" dxfId="3" priority="4" operator="containsText" text="&quot;blanks&quot;">
      <formula>NOT(ISERROR(SEARCH("""blanks""",A1)))</formula>
    </cfRule>
  </conditionalFormatting>
  <conditionalFormatting sqref="AH261:AH262">
    <cfRule type="containsText" dxfId="2" priority="3" operator="containsText" text="&quot;blanks&quot;">
      <formula>NOT(ISERROR(SEARCH("""blanks""",AH261)))</formula>
    </cfRule>
  </conditionalFormatting>
  <conditionalFormatting sqref="AI264:AI265">
    <cfRule type="containsText" dxfId="1" priority="2" operator="containsText" text="&quot;blanks&quot;">
      <formula>NOT(ISERROR(SEARCH("""blanks""",AI264)))</formula>
    </cfRule>
  </conditionalFormatting>
  <conditionalFormatting sqref="AI270">
    <cfRule type="containsText" dxfId="0" priority="1" operator="containsText" text="&quot;blanks&quot;">
      <formula>NOT(ISERROR(SEARCH("""blanks""",AI270)))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CPI data</vt:lpstr>
      <vt:lpstr>Missing values</vt:lpstr>
      <vt:lpstr>Basket</vt:lpstr>
      <vt:lpstr>Problem 1</vt:lpstr>
      <vt:lpstr>Problem 2</vt:lpstr>
      <vt:lpstr>Problem 3 data</vt:lpstr>
      <vt:lpstr>Problem 3</vt:lpstr>
      <vt:lpstr>Problem 4</vt:lpstr>
      <vt:lpstr>Crude oil dataset</vt:lpstr>
      <vt:lpstr>Problem 5</vt:lpstr>
      <vt:lpstr>All_India_Index_Upto_April23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dhawan</dc:creator>
  <cp:lastModifiedBy>shrutidhawan2003@gmail.com</cp:lastModifiedBy>
  <dcterms:created xsi:type="dcterms:W3CDTF">2025-10-08T16:51:20Z</dcterms:created>
  <dcterms:modified xsi:type="dcterms:W3CDTF">2026-08-31T12:38:02Z</dcterms:modified>
</cp:coreProperties>
</file>